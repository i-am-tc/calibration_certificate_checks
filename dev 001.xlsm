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ink/ink1.xml" ContentType="application/inkml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02\OneDrive\Freelancing\VBA\TIS Instruments\2nd Project\Github\"/>
    </mc:Choice>
  </mc:AlternateContent>
  <xr:revisionPtr revIDLastSave="0" documentId="13_ncr:1_{0A04B27E-C49E-4E67-A624-EC0E4B49516E}" xr6:coauthVersionLast="47" xr6:coauthVersionMax="47" xr10:uidLastSave="{00000000-0000-0000-0000-000000000000}"/>
  <bookViews>
    <workbookView xWindow="-110" yWindow="-110" windowWidth="38620" windowHeight="21820" tabRatio="491" xr2:uid="{00000000-000D-0000-FFFF-FFFF00000000}"/>
  </bookViews>
  <sheets>
    <sheet name="Cover Page" sheetId="36" r:id="rId1"/>
    <sheet name=" report1" sheetId="37" r:id="rId2"/>
    <sheet name="Calibration Data" sheetId="34" r:id="rId3"/>
    <sheet name="As Left Formula" sheetId="35" state="hidden" r:id="rId4"/>
  </sheets>
  <functionGroups builtInGroupCount="19"/>
  <definedNames>
    <definedName name="_xlnm.Print_Area" localSheetId="1">' report1'!$A$2:$M$47</definedName>
    <definedName name="_xlnm.Print_Area" localSheetId="2">'Calibration Data'!$A$1:$P$48</definedName>
    <definedName name="_xlnm.Print_Area" localSheetId="0">'Cover Page'!$A$2:$N$52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8" i="34" l="1"/>
  <c r="I37" i="34"/>
  <c r="K37" i="34" s="1"/>
  <c r="I36" i="34"/>
  <c r="K36" i="34" s="1"/>
  <c r="K35" i="34"/>
  <c r="I35" i="34"/>
  <c r="J35" i="34" s="1"/>
  <c r="I34" i="34"/>
  <c r="K34" i="34" s="1"/>
  <c r="I33" i="34"/>
  <c r="K33" i="34" s="1"/>
  <c r="K32" i="34"/>
  <c r="J32" i="34"/>
  <c r="I31" i="34"/>
  <c r="K31" i="34" s="1"/>
  <c r="I30" i="34"/>
  <c r="K30" i="34" s="1"/>
  <c r="K29" i="34"/>
  <c r="J29" i="34"/>
  <c r="I29" i="34"/>
  <c r="I28" i="34"/>
  <c r="K28" i="34" s="1"/>
  <c r="I27" i="34"/>
  <c r="K27" i="34" s="1"/>
  <c r="I26" i="34"/>
  <c r="J36" i="34" l="1"/>
  <c r="J33" i="34"/>
  <c r="J30" i="34"/>
  <c r="J27" i="34"/>
  <c r="J37" i="34"/>
  <c r="J34" i="34"/>
  <c r="J31" i="34"/>
  <c r="J28" i="34"/>
  <c r="I19" i="35" l="1"/>
  <c r="I14" i="35"/>
  <c r="I11" i="35"/>
  <c r="I10" i="35"/>
  <c r="D18" i="35"/>
  <c r="D14" i="35"/>
  <c r="D10" i="35"/>
  <c r="E10" i="35" s="1"/>
  <c r="F10" i="35" s="1"/>
  <c r="G10" i="35" s="1"/>
  <c r="N10" i="35" s="1"/>
  <c r="D38" i="34"/>
  <c r="F21" i="34"/>
  <c r="F20" i="34"/>
  <c r="B29" i="37"/>
  <c r="F19" i="34"/>
  <c r="F18" i="34"/>
  <c r="F17" i="34"/>
  <c r="D32" i="34"/>
  <c r="I15" i="35"/>
  <c r="D31" i="34"/>
  <c r="I14" i="34"/>
  <c r="J14" i="34"/>
  <c r="D28" i="34"/>
  <c r="I15" i="34"/>
  <c r="J15" i="34"/>
  <c r="D27" i="34"/>
  <c r="D30" i="34"/>
  <c r="D29" i="34"/>
  <c r="D26" i="34"/>
  <c r="A9" i="35" s="1"/>
  <c r="D35" i="34"/>
  <c r="M20" i="35"/>
  <c r="D20" i="35"/>
  <c r="C20" i="35"/>
  <c r="B20" i="35"/>
  <c r="C10" i="35"/>
  <c r="B10" i="35"/>
  <c r="I11" i="34"/>
  <c r="J11" i="34"/>
  <c r="M10" i="35"/>
  <c r="M21" i="35"/>
  <c r="M19" i="35"/>
  <c r="M18" i="35"/>
  <c r="M17" i="35"/>
  <c r="M16" i="35"/>
  <c r="M15" i="35"/>
  <c r="M14" i="35"/>
  <c r="M13" i="35"/>
  <c r="M12" i="35"/>
  <c r="M11" i="35"/>
  <c r="M9" i="35"/>
  <c r="B25" i="37"/>
  <c r="B20" i="37"/>
  <c r="B21" i="37"/>
  <c r="B17" i="37"/>
  <c r="A9" i="37"/>
  <c r="D11" i="35"/>
  <c r="D12" i="35"/>
  <c r="D13" i="35"/>
  <c r="D15" i="35"/>
  <c r="D16" i="35"/>
  <c r="D17" i="35"/>
  <c r="D19" i="35"/>
  <c r="D21" i="35"/>
  <c r="C11" i="35"/>
  <c r="C12" i="35"/>
  <c r="C13" i="35"/>
  <c r="C14" i="35"/>
  <c r="C15" i="35"/>
  <c r="C16" i="35"/>
  <c r="C17" i="35"/>
  <c r="C18" i="35"/>
  <c r="C19" i="35"/>
  <c r="C21" i="35"/>
  <c r="C9" i="35"/>
  <c r="D9" i="35"/>
  <c r="B12" i="35"/>
  <c r="B13" i="35"/>
  <c r="B14" i="35"/>
  <c r="B15" i="35"/>
  <c r="B16" i="35"/>
  <c r="B17" i="35"/>
  <c r="B18" i="35"/>
  <c r="E18" i="35" s="1"/>
  <c r="F18" i="35" s="1"/>
  <c r="G18" i="35" s="1"/>
  <c r="N18" i="35" s="1"/>
  <c r="B19" i="35"/>
  <c r="E19" i="35"/>
  <c r="F19" i="35" s="1"/>
  <c r="G19" i="35" s="1"/>
  <c r="N19" i="35" s="1"/>
  <c r="B21" i="35"/>
  <c r="E21" i="35" s="1"/>
  <c r="F21" i="35" s="1"/>
  <c r="G21" i="35" s="1"/>
  <c r="N21" i="35" s="1"/>
  <c r="B11" i="35"/>
  <c r="B9" i="35"/>
  <c r="J29" i="37"/>
  <c r="F29" i="37" s="1"/>
  <c r="G29" i="37" s="1"/>
  <c r="I22" i="34"/>
  <c r="J22" i="34" s="1"/>
  <c r="I16" i="34"/>
  <c r="J16" i="34"/>
  <c r="I13" i="34"/>
  <c r="J13" i="34"/>
  <c r="I10" i="34"/>
  <c r="J10" i="34" s="1"/>
  <c r="B28" i="37"/>
  <c r="I21" i="35"/>
  <c r="B22" i="37"/>
  <c r="D34" i="34"/>
  <c r="I19" i="34"/>
  <c r="J19" i="34"/>
  <c r="I12" i="34"/>
  <c r="J12" i="34"/>
  <c r="B19" i="37"/>
  <c r="B18" i="37"/>
  <c r="A10" i="35"/>
  <c r="I17" i="34"/>
  <c r="J17" i="34"/>
  <c r="B30" i="37"/>
  <c r="B23" i="37"/>
  <c r="A14" i="35"/>
  <c r="B27" i="37"/>
  <c r="I18" i="34"/>
  <c r="J18" i="34" s="1"/>
  <c r="I20" i="34"/>
  <c r="J20" i="34"/>
  <c r="I9" i="35"/>
  <c r="I17" i="35"/>
  <c r="A13" i="35"/>
  <c r="I13" i="35"/>
  <c r="A11" i="35"/>
  <c r="B26" i="37"/>
  <c r="D33" i="34"/>
  <c r="I21" i="34"/>
  <c r="J21" i="34"/>
  <c r="D37" i="34"/>
  <c r="D36" i="34"/>
  <c r="A18" i="35"/>
  <c r="I18" i="35"/>
  <c r="A12" i="35"/>
  <c r="I12" i="35"/>
  <c r="I20" i="35"/>
  <c r="A19" i="35"/>
  <c r="A16" i="35"/>
  <c r="I16" i="35"/>
  <c r="J17" i="37"/>
  <c r="J31" i="37"/>
  <c r="J28" i="37"/>
  <c r="F28" i="37" s="1"/>
  <c r="E9" i="35"/>
  <c r="F9" i="35" s="1"/>
  <c r="G9" i="35" s="1"/>
  <c r="N9" i="35" s="1"/>
  <c r="J22" i="37"/>
  <c r="K22" i="37" s="1"/>
  <c r="E14" i="35"/>
  <c r="F14" i="35" s="1"/>
  <c r="G14" i="35" s="1"/>
  <c r="N14" i="35" s="1"/>
  <c r="J20" i="37"/>
  <c r="F20" i="37" s="1"/>
  <c r="A20" i="35"/>
  <c r="A17" i="35"/>
  <c r="A15" i="35"/>
  <c r="K38" i="34" l="1"/>
  <c r="J38" i="34"/>
  <c r="A21" i="35"/>
  <c r="K26" i="34"/>
  <c r="J26" i="34"/>
  <c r="B31" i="37"/>
  <c r="K17" i="37"/>
  <c r="O9" i="35"/>
  <c r="P9" i="35" s="1"/>
  <c r="Q9" i="35" s="1"/>
  <c r="E17" i="35"/>
  <c r="F17" i="35" s="1"/>
  <c r="G17" i="35" s="1"/>
  <c r="N17" i="35" s="1"/>
  <c r="E16" i="35"/>
  <c r="F16" i="35" s="1"/>
  <c r="G16" i="35" s="1"/>
  <c r="N16" i="35" s="1"/>
  <c r="O16" i="35" s="1"/>
  <c r="P16" i="35" s="1"/>
  <c r="Q16" i="35" s="1"/>
  <c r="E13" i="35"/>
  <c r="F13" i="35" s="1"/>
  <c r="G13" i="35" s="1"/>
  <c r="N13" i="35" s="1"/>
  <c r="O13" i="35" s="1"/>
  <c r="P13" i="35" s="1"/>
  <c r="Q13" i="35" s="1"/>
  <c r="E12" i="35"/>
  <c r="F12" i="35" s="1"/>
  <c r="G12" i="35" s="1"/>
  <c r="N12" i="35" s="1"/>
  <c r="E20" i="35"/>
  <c r="F20" i="35" s="1"/>
  <c r="G20" i="35" s="1"/>
  <c r="N20" i="35" s="1"/>
  <c r="O20" i="35" s="1"/>
  <c r="P20" i="35" s="1"/>
  <c r="Q20" i="35" s="1"/>
  <c r="E11" i="35"/>
  <c r="F11" i="35" s="1"/>
  <c r="G11" i="35" s="1"/>
  <c r="N11" i="35" s="1"/>
  <c r="O11" i="35" s="1"/>
  <c r="P11" i="35" s="1"/>
  <c r="Q11" i="35" s="1"/>
  <c r="O21" i="35"/>
  <c r="P21" i="35" s="1"/>
  <c r="Q21" i="35" s="1"/>
  <c r="J30" i="37"/>
  <c r="F30" i="37" s="1"/>
  <c r="G30" i="37" s="1"/>
  <c r="O19" i="35"/>
  <c r="P19" i="35" s="1"/>
  <c r="Q19" i="35" s="1"/>
  <c r="O18" i="35"/>
  <c r="P18" i="35" s="1"/>
  <c r="Q18" i="35" s="1"/>
  <c r="K28" i="37"/>
  <c r="O17" i="35"/>
  <c r="P17" i="35" s="1"/>
  <c r="Q17" i="35" s="1"/>
  <c r="J27" i="37"/>
  <c r="K27" i="37" s="1"/>
  <c r="J26" i="37"/>
  <c r="F26" i="37" s="1"/>
  <c r="G26" i="37" s="1"/>
  <c r="O14" i="35"/>
  <c r="P14" i="35" s="1"/>
  <c r="Q14" i="35" s="1"/>
  <c r="J21" i="37"/>
  <c r="F21" i="37" s="1"/>
  <c r="G21" i="37" s="1"/>
  <c r="O12" i="35"/>
  <c r="P12" i="35" s="1"/>
  <c r="Q12" i="35" s="1"/>
  <c r="J19" i="37"/>
  <c r="F19" i="37" s="1"/>
  <c r="O10" i="35"/>
  <c r="P10" i="35" s="1"/>
  <c r="Q10" i="35" s="1"/>
  <c r="J18" i="37"/>
  <c r="F18" i="37" s="1"/>
  <c r="G18" i="37" s="1"/>
  <c r="K31" i="37"/>
  <c r="F31" i="37"/>
  <c r="K29" i="37"/>
  <c r="G28" i="37"/>
  <c r="K20" i="37"/>
  <c r="G19" i="37"/>
  <c r="F17" i="37"/>
  <c r="G17" i="37" s="1"/>
  <c r="G20" i="37"/>
  <c r="F22" i="37"/>
  <c r="G22" i="37" s="1"/>
  <c r="J25" i="37"/>
  <c r="K25" i="37" s="1"/>
  <c r="J23" i="37"/>
  <c r="K23" i="37" s="1"/>
  <c r="D6" i="37"/>
  <c r="E15" i="35"/>
  <c r="F15" i="35" s="1"/>
  <c r="G15" i="35" s="1"/>
  <c r="N15" i="35" s="1"/>
  <c r="O15" i="35" s="1"/>
  <c r="P15" i="35" s="1"/>
  <c r="Q15" i="35" s="1"/>
  <c r="K30" i="37" l="1"/>
  <c r="G31" i="37"/>
  <c r="K21" i="37"/>
  <c r="F27" i="37"/>
  <c r="G27" i="37" s="1"/>
  <c r="K26" i="37"/>
  <c r="K19" i="37"/>
  <c r="K18" i="37"/>
  <c r="F25" i="37"/>
  <c r="G25" i="37" s="1"/>
  <c r="F23" i="37"/>
  <c r="G23" i="37" s="1"/>
</calcChain>
</file>

<file path=xl/sharedStrings.xml><?xml version="1.0" encoding="utf-8"?>
<sst xmlns="http://schemas.openxmlformats.org/spreadsheetml/2006/main" count="195" uniqueCount="120">
  <si>
    <t>Calibration Certificate</t>
  </si>
  <si>
    <t xml:space="preserve">Certificate No.          </t>
  </si>
  <si>
    <t>:</t>
  </si>
  <si>
    <t>Page</t>
  </si>
  <si>
    <t xml:space="preserve">Customer                  </t>
  </si>
  <si>
    <t xml:space="preserve">Ambient Temperature      </t>
  </si>
  <si>
    <t xml:space="preserve">Relative Humidity           </t>
  </si>
  <si>
    <t xml:space="preserve">Date Calibrated               </t>
  </si>
  <si>
    <t>Digital Pressure Gauge</t>
  </si>
  <si>
    <t xml:space="preserve">Instrument Description         </t>
  </si>
  <si>
    <t>Range</t>
  </si>
  <si>
    <t xml:space="preserve">Manufacturer             </t>
  </si>
  <si>
    <t xml:space="preserve">Accuracy </t>
  </si>
  <si>
    <t>0.05 % F.S</t>
  </si>
  <si>
    <t xml:space="preserve">Model No.               </t>
  </si>
  <si>
    <t>(Tag/ID No.)</t>
  </si>
  <si>
    <t>---</t>
  </si>
  <si>
    <t>30 psi</t>
  </si>
  <si>
    <t xml:space="preserve">Serial No.                </t>
  </si>
  <si>
    <t>(23 ± 3)℃</t>
  </si>
  <si>
    <t>(30 - 80)% r.h.</t>
  </si>
  <si>
    <t>National Physical Laboratory (NPL,UK), or National Institute of Standards and Technology (NIST,USA) or other</t>
  </si>
  <si>
    <t>recognised National or International Standards Laboratories.</t>
  </si>
  <si>
    <t>Reference Instruments</t>
  </si>
  <si>
    <t>Reference Standard</t>
  </si>
  <si>
    <t>Model</t>
  </si>
  <si>
    <t>S/N</t>
  </si>
  <si>
    <t>Assoc.Test Report</t>
  </si>
  <si>
    <t>Due Date</t>
  </si>
  <si>
    <t xml:space="preserve"> Pressure Calibrator</t>
  </si>
  <si>
    <t xml:space="preserve">Method of Calibration </t>
  </si>
  <si>
    <t xml:space="preserve">The method was carried out according to Calibration Procedure                                                            </t>
  </si>
  <si>
    <t>as a guide.</t>
  </si>
  <si>
    <t>Results of Calibration</t>
  </si>
  <si>
    <t>1.   The expanded uncertainty of measurement associated with the calibration is estimated at a confidence level of approximately</t>
  </si>
  <si>
    <t xml:space="preserve">      95% with a coverage factor of k=2.</t>
  </si>
  <si>
    <t>2.   The results of calibration are given on the attached calibration data sheet(s).</t>
  </si>
  <si>
    <t>3.   The user should determine the suitability of the instrument for the intended use.</t>
  </si>
  <si>
    <t xml:space="preserve">      Accreditation Council.</t>
  </si>
  <si>
    <t>Calibrated By</t>
  </si>
  <si>
    <t>Approved By</t>
  </si>
  <si>
    <t>Calibration Officer</t>
  </si>
  <si>
    <t>Approved Signatory</t>
  </si>
  <si>
    <t>Applied Pressure</t>
  </si>
  <si>
    <t>Indicated Pressure</t>
  </si>
  <si>
    <t>As Found Calibration</t>
  </si>
  <si>
    <t>As Left Calibration</t>
  </si>
  <si>
    <t>Ascending</t>
  </si>
  <si>
    <t>`</t>
  </si>
  <si>
    <t xml:space="preserve"> Value</t>
  </si>
  <si>
    <t>Error</t>
  </si>
  <si>
    <t>Mean Value</t>
  </si>
  <si>
    <t>psi</t>
  </si>
  <si>
    <t>Descending</t>
  </si>
  <si>
    <t xml:space="preserve">             Calibration Certificate</t>
  </si>
  <si>
    <t>As Received</t>
  </si>
  <si>
    <t>Test Data</t>
  </si>
  <si>
    <t>Mean
Reading</t>
  </si>
  <si>
    <t xml:space="preserve">Status </t>
  </si>
  <si>
    <t>As Left</t>
  </si>
  <si>
    <t>Acceptance Limits</t>
  </si>
  <si>
    <t>1st Cycle</t>
  </si>
  <si>
    <t>2nd Cycle</t>
  </si>
  <si>
    <t>3rd Cycle</t>
  </si>
  <si>
    <t>Mean
Reading</t>
    <phoneticPr fontId="0" type="noConversion"/>
  </si>
  <si>
    <t>Low</t>
    <phoneticPr fontId="0" type="noConversion"/>
  </si>
  <si>
    <t>High</t>
  </si>
  <si>
    <t>Standard Deviation Uncertainty</t>
  </si>
  <si>
    <t>Reference Expanded Uncertainty</t>
  </si>
  <si>
    <t>Reference Combined Uncertainty</t>
  </si>
  <si>
    <t>Reference Accuracy</t>
  </si>
  <si>
    <t>Reference Accuracy Uncertainty</t>
  </si>
  <si>
    <t>Resolution Uncertainty</t>
  </si>
  <si>
    <t>Ref.</t>
  </si>
  <si>
    <t>Cycle</t>
  </si>
  <si>
    <t>Mean</t>
  </si>
  <si>
    <t>Standard Deviation, σ</t>
  </si>
  <si>
    <t>Type A (Uσ)</t>
  </si>
  <si>
    <t>REFu</t>
  </si>
  <si>
    <t>Uref</t>
  </si>
  <si>
    <t>REFacc</t>
  </si>
  <si>
    <t>Uacc</t>
  </si>
  <si>
    <t>Resolution</t>
  </si>
  <si>
    <t>Ures</t>
  </si>
  <si>
    <t>Combined Uncertainty</t>
  </si>
  <si>
    <t>Veff</t>
  </si>
  <si>
    <t>k-factor</t>
  </si>
  <si>
    <t>Expanded Uncertainty</t>
  </si>
  <si>
    <t>Note:</t>
  </si>
  <si>
    <t>Values same (in UNITS, not %) if using controllers (see asset calibration history),</t>
  </si>
  <si>
    <t>Change accordingly</t>
  </si>
  <si>
    <t>different if DWT (use</t>
  </si>
  <si>
    <t>If pressure measured is below 2000psi, uncertainty in % is 0.005, if above, 0.008</t>
  </si>
  <si>
    <t xml:space="preserve">If 2 reference standard equipment were used, use </t>
  </si>
  <si>
    <t>where a and b are the uncertainty values</t>
  </si>
  <si>
    <t xml:space="preserve"> </t>
  </si>
  <si>
    <t>*</t>
  </si>
  <si>
    <t>1 of 2</t>
  </si>
  <si>
    <t>2 of 2</t>
  </si>
  <si>
    <t>Pee Shit Pyang</t>
  </si>
  <si>
    <t>Ghee Prata Pong</t>
  </si>
  <si>
    <t>22-C12345</t>
  </si>
  <si>
    <t>Temperature Calibrator</t>
  </si>
  <si>
    <t>Humidity Calibrator</t>
  </si>
  <si>
    <t xml:space="preserve">    PISS Pte Ltd</t>
  </si>
  <si>
    <t>ss</t>
  </si>
  <si>
    <t>WI-999999-99</t>
  </si>
  <si>
    <t>The described instrument has been calibrated at PISS under the ambient conditions stated above.</t>
  </si>
  <si>
    <t>Amazing Instruments</t>
  </si>
  <si>
    <t>AMAZE-1</t>
  </si>
  <si>
    <t>AM-1234567</t>
  </si>
  <si>
    <t>MBT1000</t>
  </si>
  <si>
    <t>IFV1111</t>
  </si>
  <si>
    <t>BIO4321</t>
  </si>
  <si>
    <t>RT321312</t>
  </si>
  <si>
    <t>MB4234</t>
  </si>
  <si>
    <t>IF32423</t>
  </si>
  <si>
    <t xml:space="preserve">4.   The results reported herein have been performed in accordance with the terms of accreditation under the LalaLand </t>
  </si>
  <si>
    <t xml:space="preserve">The reference measurement standards used are traceable to National MAMAMA Centre (NMC,LALALAND), or  </t>
  </si>
  <si>
    <t>HIGHLY INACCURATE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</si>
</sst>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  <numFmt numFmtId="170" formatCode="yyyy\-mm\-dd;@"/>
  </numFmts>
  <fonts count="24" x14ac:knownFonts="1">
    <font>
      <sz val="10"/>
      <name val="Arial"/>
      <family val="2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b/>
      <i/>
      <u/>
      <sz val="12"/>
      <name val="Times New Roman"/>
      <family val="1"/>
    </font>
    <font>
      <b/>
      <u/>
      <sz val="12"/>
      <name val="Times New Roman"/>
      <family val="1"/>
    </font>
    <font>
      <sz val="12"/>
      <name val="Arial"/>
      <family val="2"/>
    </font>
    <font>
      <sz val="12"/>
      <color indexed="30"/>
      <name val="Times New Roman"/>
      <family val="1"/>
    </font>
    <font>
      <sz val="12"/>
      <color indexed="48"/>
      <name val="Times New Roman"/>
      <family val="1"/>
    </font>
    <font>
      <sz val="20"/>
      <name val="Times New Roman"/>
      <family val="1"/>
    </font>
    <font>
      <b/>
      <sz val="22"/>
      <name val="Times New Roman"/>
      <family val="1"/>
    </font>
    <font>
      <b/>
      <sz val="20"/>
      <name val="Times New Roman"/>
      <family val="1"/>
    </font>
    <font>
      <b/>
      <sz val="24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b/>
      <sz val="18"/>
      <name val="Times New Roman"/>
      <family val="1"/>
    </font>
    <font>
      <u/>
      <sz val="12"/>
      <name val="Times New Roman"/>
      <family val="1"/>
    </font>
    <font>
      <sz val="12"/>
      <color rgb="FFFFFF00"/>
      <name val="Times New Roman"/>
      <family val="1"/>
    </font>
    <font>
      <sz val="12"/>
      <color rgb="FF0070C0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000000"/>
      <name val="Arial"/>
      <family val="2"/>
    </font>
    <font>
      <sz val="16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9"/>
        <bgColor indexed="64"/>
      </patternFill>
    </fill>
  </fills>
  <borders count="6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9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0" borderId="0" xfId="0" applyFont="1" applyAlignment="1">
      <alignment horizontal="center"/>
    </xf>
    <xf numFmtId="0" fontId="3" fillId="0" borderId="2" xfId="0" applyFont="1" applyBorder="1"/>
    <xf numFmtId="0" fontId="1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/>
    </xf>
    <xf numFmtId="0" fontId="3" fillId="0" borderId="0" xfId="0" quotePrefix="1" applyFont="1"/>
    <xf numFmtId="0" fontId="3" fillId="0" borderId="1" xfId="0" quotePrefix="1" applyFont="1" applyBorder="1"/>
    <xf numFmtId="0" fontId="3" fillId="0" borderId="3" xfId="0" applyFont="1" applyBorder="1" applyAlignment="1">
      <alignment horizontal="left"/>
    </xf>
    <xf numFmtId="0" fontId="2" fillId="0" borderId="3" xfId="0" applyFont="1" applyBorder="1"/>
    <xf numFmtId="15" fontId="3" fillId="0" borderId="0" xfId="0" applyNumberFormat="1" applyFont="1" applyAlignment="1">
      <alignment horizontal="right"/>
    </xf>
    <xf numFmtId="15" fontId="1" fillId="0" borderId="0" xfId="0" applyNumberFormat="1" applyFont="1"/>
    <xf numFmtId="15" fontId="3" fillId="0" borderId="0" xfId="0" applyNumberFormat="1" applyFont="1"/>
    <xf numFmtId="0" fontId="3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3" xfId="0" applyFont="1" applyBorder="1"/>
    <xf numFmtId="165" fontId="3" fillId="0" borderId="0" xfId="0" applyNumberFormat="1" applyFont="1" applyAlignment="1">
      <alignment horizontal="center"/>
    </xf>
    <xf numFmtId="166" fontId="3" fillId="0" borderId="0" xfId="0" quotePrefix="1" applyNumberFormat="1" applyFont="1" applyAlignment="1">
      <alignment horizontal="center"/>
    </xf>
    <xf numFmtId="166" fontId="3" fillId="0" borderId="0" xfId="0" applyNumberFormat="1" applyFont="1"/>
    <xf numFmtId="0" fontId="3" fillId="0" borderId="5" xfId="0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6" xfId="0" applyFont="1" applyBorder="1"/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/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" xfId="0" quotePrefix="1" applyNumberFormat="1" applyFont="1" applyBorder="1" applyAlignment="1">
      <alignment horizontal="center"/>
    </xf>
    <xf numFmtId="2" fontId="3" fillId="0" borderId="0" xfId="0" quotePrefix="1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9" fillId="0" borderId="0" xfId="0" applyFont="1"/>
    <xf numFmtId="0" fontId="10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left" indent="4"/>
    </xf>
    <xf numFmtId="0" fontId="13" fillId="0" borderId="4" xfId="0" applyFont="1" applyBorder="1"/>
    <xf numFmtId="0" fontId="3" fillId="0" borderId="11" xfId="0" applyFont="1" applyBorder="1" applyAlignment="1">
      <alignment horizontal="left"/>
    </xf>
    <xf numFmtId="0" fontId="4" fillId="0" borderId="12" xfId="0" applyFont="1" applyBorder="1" applyAlignment="1">
      <alignment horizontal="right"/>
    </xf>
    <xf numFmtId="0" fontId="3" fillId="0" borderId="12" xfId="0" applyFont="1" applyBorder="1"/>
    <xf numFmtId="0" fontId="3" fillId="0" borderId="12" xfId="0" applyFont="1" applyBorder="1" applyAlignment="1">
      <alignment horizontal="right"/>
    </xf>
    <xf numFmtId="0" fontId="3" fillId="0" borderId="13" xfId="0" applyFont="1" applyBorder="1"/>
    <xf numFmtId="0" fontId="0" fillId="0" borderId="3" xfId="0" applyBorder="1"/>
    <xf numFmtId="0" fontId="1" fillId="0" borderId="3" xfId="0" applyFont="1" applyBorder="1"/>
    <xf numFmtId="15" fontId="3" fillId="0" borderId="1" xfId="0" applyNumberFormat="1" applyFont="1" applyBorder="1"/>
    <xf numFmtId="15" fontId="3" fillId="0" borderId="0" xfId="0" applyNumberFormat="1" applyFont="1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/>
    <xf numFmtId="0" fontId="3" fillId="0" borderId="3" xfId="0" quotePrefix="1" applyFont="1" applyBorder="1" applyAlignment="1">
      <alignment horizontal="left"/>
    </xf>
    <xf numFmtId="0" fontId="3" fillId="0" borderId="0" xfId="0" quotePrefix="1" applyFont="1" applyAlignment="1">
      <alignment horizontal="left"/>
    </xf>
    <xf numFmtId="15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66" fontId="3" fillId="3" borderId="0" xfId="0" quotePrefix="1" applyNumberFormat="1" applyFont="1" applyFill="1" applyAlignment="1">
      <alignment horizontal="center"/>
    </xf>
    <xf numFmtId="2" fontId="3" fillId="4" borderId="0" xfId="0" quotePrefix="1" applyNumberFormat="1" applyFont="1" applyFill="1" applyAlignment="1">
      <alignment horizontal="center"/>
    </xf>
    <xf numFmtId="2" fontId="3" fillId="5" borderId="0" xfId="0" quotePrefix="1" applyNumberFormat="1" applyFont="1" applyFill="1" applyAlignment="1">
      <alignment horizontal="center"/>
    </xf>
    <xf numFmtId="4" fontId="2" fillId="0" borderId="0" xfId="0" applyNumberFormat="1" applyFont="1"/>
    <xf numFmtId="4" fontId="3" fillId="0" borderId="0" xfId="0" applyNumberFormat="1" applyFont="1"/>
    <xf numFmtId="0" fontId="1" fillId="0" borderId="0" xfId="0" applyFont="1" applyAlignment="1">
      <alignment horizontal="right"/>
    </xf>
    <xf numFmtId="0" fontId="2" fillId="0" borderId="14" xfId="0" applyFont="1" applyBorder="1"/>
    <xf numFmtId="0" fontId="2" fillId="0" borderId="4" xfId="0" applyFont="1" applyBorder="1"/>
    <xf numFmtId="0" fontId="2" fillId="0" borderId="15" xfId="0" applyFont="1" applyBorder="1"/>
    <xf numFmtId="4" fontId="1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2" fillId="3" borderId="0" xfId="0" applyFont="1" applyFill="1" applyAlignment="1">
      <alignment wrapText="1"/>
    </xf>
    <xf numFmtId="0" fontId="2" fillId="6" borderId="0" xfId="0" applyFont="1" applyFill="1"/>
    <xf numFmtId="0" fontId="2" fillId="4" borderId="0" xfId="0" applyFont="1" applyFill="1" applyAlignment="1">
      <alignment wrapText="1"/>
    </xf>
    <xf numFmtId="166" fontId="17" fillId="3" borderId="0" xfId="0" applyNumberFormat="1" applyFont="1" applyFill="1"/>
    <xf numFmtId="166" fontId="3" fillId="4" borderId="0" xfId="0" quotePrefix="1" applyNumberFormat="1" applyFont="1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2" fillId="6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2" fontId="17" fillId="0" borderId="0" xfId="0" quotePrefix="1" applyNumberFormat="1" applyFont="1" applyAlignment="1">
      <alignment horizontal="center"/>
    </xf>
    <xf numFmtId="166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2" fontId="3" fillId="0" borderId="4" xfId="0" applyNumberFormat="1" applyFont="1" applyBorder="1" applyAlignment="1">
      <alignment horizontal="center"/>
    </xf>
    <xf numFmtId="15" fontId="3" fillId="0" borderId="0" xfId="0" quotePrefix="1" applyNumberFormat="1" applyFont="1"/>
    <xf numFmtId="165" fontId="3" fillId="0" borderId="0" xfId="0" quotePrefix="1" applyNumberFormat="1" applyFont="1"/>
    <xf numFmtId="164" fontId="3" fillId="0" borderId="0" xfId="0" quotePrefix="1" applyNumberFormat="1" applyFont="1"/>
    <xf numFmtId="0" fontId="1" fillId="0" borderId="1" xfId="0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0" xfId="0" applyFont="1" applyAlignment="1">
      <alignment horizontal="right" wrapText="1" shrinkToFit="1"/>
    </xf>
    <xf numFmtId="0" fontId="3" fillId="7" borderId="6" xfId="0" applyFont="1" applyFill="1" applyBorder="1"/>
    <xf numFmtId="0" fontId="3" fillId="0" borderId="6" xfId="0" quotePrefix="1" applyFont="1" applyBorder="1"/>
    <xf numFmtId="0" fontId="3" fillId="0" borderId="16" xfId="0" applyFont="1" applyBorder="1"/>
    <xf numFmtId="0" fontId="3" fillId="7" borderId="16" xfId="0" applyFont="1" applyFill="1" applyBorder="1"/>
    <xf numFmtId="0" fontId="0" fillId="8" borderId="0" xfId="0" applyFill="1"/>
    <xf numFmtId="0" fontId="0" fillId="7" borderId="0" xfId="0" applyFill="1"/>
    <xf numFmtId="166" fontId="3" fillId="0" borderId="17" xfId="0" applyNumberFormat="1" applyFont="1" applyBorder="1"/>
    <xf numFmtId="166" fontId="3" fillId="0" borderId="6" xfId="0" applyNumberFormat="1" applyFont="1" applyBorder="1"/>
    <xf numFmtId="166" fontId="3" fillId="0" borderId="18" xfId="0" applyNumberFormat="1" applyFont="1" applyBorder="1"/>
    <xf numFmtId="0" fontId="3" fillId="0" borderId="19" xfId="0" applyFont="1" applyBorder="1"/>
    <xf numFmtId="169" fontId="3" fillId="0" borderId="20" xfId="0" applyNumberFormat="1" applyFont="1" applyBorder="1"/>
    <xf numFmtId="169" fontId="3" fillId="0" borderId="19" xfId="0" applyNumberFormat="1" applyFont="1" applyBorder="1"/>
    <xf numFmtId="169" fontId="3" fillId="0" borderId="16" xfId="0" applyNumberFormat="1" applyFont="1" applyBorder="1"/>
    <xf numFmtId="0" fontId="0" fillId="0" borderId="12" xfId="0" applyBorder="1"/>
    <xf numFmtId="0" fontId="15" fillId="0" borderId="4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4" xfId="0" applyFont="1" applyBorder="1" applyAlignment="1">
      <alignment horizontal="righ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15" xfId="0" applyFont="1" applyBorder="1"/>
    <xf numFmtId="15" fontId="1" fillId="0" borderId="2" xfId="0" applyNumberFormat="1" applyFont="1" applyBorder="1"/>
    <xf numFmtId="15" fontId="3" fillId="0" borderId="2" xfId="0" applyNumberFormat="1" applyFont="1" applyBorder="1"/>
    <xf numFmtId="1" fontId="3" fillId="0" borderId="14" xfId="0" applyNumberFormat="1" applyFont="1" applyBorder="1" applyAlignment="1">
      <alignment horizontal="center"/>
    </xf>
    <xf numFmtId="15" fontId="3" fillId="0" borderId="4" xfId="0" applyNumberFormat="1" applyFont="1" applyBorder="1" applyAlignment="1">
      <alignment horizontal="right"/>
    </xf>
    <xf numFmtId="15" fontId="3" fillId="0" borderId="4" xfId="0" applyNumberFormat="1" applyFont="1" applyBorder="1"/>
    <xf numFmtId="0" fontId="3" fillId="0" borderId="15" xfId="0" quotePrefix="1" applyFont="1" applyBorder="1"/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wrapText="1" shrinkToFit="1"/>
    </xf>
    <xf numFmtId="0" fontId="3" fillId="0" borderId="0" xfId="0" applyFont="1" applyAlignment="1">
      <alignment horizontal="center" wrapText="1"/>
    </xf>
    <xf numFmtId="0" fontId="3" fillId="0" borderId="18" xfId="0" quotePrefix="1" applyFont="1" applyBorder="1"/>
    <xf numFmtId="166" fontId="3" fillId="0" borderId="20" xfId="0" applyNumberFormat="1" applyFont="1" applyBorder="1"/>
    <xf numFmtId="166" fontId="3" fillId="0" borderId="19" xfId="0" applyNumberFormat="1" applyFont="1" applyBorder="1"/>
    <xf numFmtId="166" fontId="3" fillId="0" borderId="16" xfId="0" applyNumberFormat="1" applyFont="1" applyBorder="1"/>
    <xf numFmtId="166" fontId="3" fillId="9" borderId="21" xfId="0" applyNumberFormat="1" applyFont="1" applyFill="1" applyBorder="1"/>
    <xf numFmtId="166" fontId="3" fillId="9" borderId="22" xfId="0" applyNumberFormat="1" applyFont="1" applyFill="1" applyBorder="1"/>
    <xf numFmtId="166" fontId="3" fillId="9" borderId="23" xfId="0" applyNumberFormat="1" applyFont="1" applyFill="1" applyBorder="1"/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left"/>
    </xf>
    <xf numFmtId="170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0" borderId="3" xfId="0" applyFont="1" applyBorder="1" applyAlignment="1">
      <alignment vertical="center"/>
    </xf>
    <xf numFmtId="168" fontId="3" fillId="0" borderId="0" xfId="0" quotePrefix="1" applyNumberFormat="1" applyFont="1" applyAlignment="1">
      <alignment horizontal="left"/>
    </xf>
    <xf numFmtId="0" fontId="16" fillId="0" borderId="0" xfId="0" applyFont="1" applyAlignment="1">
      <alignment horizontal="center"/>
    </xf>
    <xf numFmtId="1" fontId="18" fillId="0" borderId="1" xfId="0" applyNumberFormat="1" applyFont="1" applyBorder="1" applyAlignment="1">
      <alignment horizontal="center"/>
    </xf>
    <xf numFmtId="1" fontId="18" fillId="0" borderId="15" xfId="0" applyNumberFormat="1" applyFont="1" applyBorder="1" applyAlignment="1">
      <alignment horizontal="center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/>
    </xf>
    <xf numFmtId="164" fontId="3" fillId="0" borderId="0" xfId="0" applyNumberFormat="1" applyFont="1" applyAlignment="1">
      <alignment horizontal="center"/>
    </xf>
    <xf numFmtId="164" fontId="2" fillId="0" borderId="0" xfId="0" applyNumberFormat="1" applyFont="1"/>
    <xf numFmtId="164" fontId="3" fillId="0" borderId="4" xfId="0" applyNumberFormat="1" applyFont="1" applyBorder="1" applyAlignment="1">
      <alignment horizontal="center"/>
    </xf>
    <xf numFmtId="164" fontId="7" fillId="0" borderId="24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65" fontId="3" fillId="2" borderId="26" xfId="0" applyNumberFormat="1" applyFont="1" applyFill="1" applyBorder="1" applyAlignment="1">
      <alignment horizontal="center"/>
    </xf>
    <xf numFmtId="165" fontId="3" fillId="2" borderId="27" xfId="0" applyNumberFormat="1" applyFont="1" applyFill="1" applyBorder="1" applyAlignment="1">
      <alignment horizontal="center"/>
    </xf>
    <xf numFmtId="165" fontId="3" fillId="2" borderId="19" xfId="0" applyNumberFormat="1" applyFont="1" applyFill="1" applyBorder="1" applyAlignment="1">
      <alignment horizontal="center"/>
    </xf>
    <xf numFmtId="165" fontId="3" fillId="2" borderId="28" xfId="0" applyNumberFormat="1" applyFont="1" applyFill="1" applyBorder="1" applyAlignment="1">
      <alignment horizontal="center"/>
    </xf>
    <xf numFmtId="165" fontId="3" fillId="2" borderId="29" xfId="0" applyNumberFormat="1" applyFont="1" applyFill="1" applyBorder="1" applyAlignment="1">
      <alignment horizontal="center"/>
    </xf>
    <xf numFmtId="165" fontId="3" fillId="2" borderId="30" xfId="0" applyNumberFormat="1" applyFont="1" applyFill="1" applyBorder="1" applyAlignment="1">
      <alignment horizontal="center"/>
    </xf>
    <xf numFmtId="0" fontId="19" fillId="0" borderId="0" xfId="0" applyFont="1"/>
    <xf numFmtId="165" fontId="3" fillId="0" borderId="3" xfId="0" applyNumberFormat="1" applyFont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165" fontId="3" fillId="0" borderId="3" xfId="0" quotePrefix="1" applyNumberFormat="1" applyFont="1" applyBorder="1" applyAlignment="1">
      <alignment horizontal="center"/>
    </xf>
    <xf numFmtId="165" fontId="3" fillId="0" borderId="14" xfId="0" quotePrefix="1" applyNumberFormat="1" applyFont="1" applyBorder="1" applyAlignment="1">
      <alignment horizontal="center"/>
    </xf>
    <xf numFmtId="0" fontId="20" fillId="0" borderId="0" xfId="0" applyFont="1"/>
    <xf numFmtId="165" fontId="3" fillId="0" borderId="31" xfId="0" applyNumberFormat="1" applyFont="1" applyBorder="1" applyAlignment="1">
      <alignment horizontal="center"/>
    </xf>
    <xf numFmtId="165" fontId="3" fillId="0" borderId="32" xfId="0" applyNumberFormat="1" applyFont="1" applyBorder="1" applyAlignment="1">
      <alignment horizontal="center"/>
    </xf>
    <xf numFmtId="165" fontId="3" fillId="0" borderId="33" xfId="0" applyNumberFormat="1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5" fontId="3" fillId="0" borderId="31" xfId="0" quotePrefix="1" applyNumberFormat="1" applyFont="1" applyBorder="1" applyAlignment="1">
      <alignment horizontal="center"/>
    </xf>
    <xf numFmtId="165" fontId="3" fillId="0" borderId="32" xfId="0" quotePrefix="1" applyNumberFormat="1" applyFont="1" applyBorder="1" applyAlignment="1">
      <alignment horizontal="center"/>
    </xf>
    <xf numFmtId="165" fontId="3" fillId="0" borderId="33" xfId="0" quotePrefix="1" applyNumberFormat="1" applyFont="1" applyBorder="1" applyAlignment="1">
      <alignment horizontal="center"/>
    </xf>
    <xf numFmtId="165" fontId="3" fillId="0" borderId="34" xfId="0" quotePrefix="1" applyNumberFormat="1" applyFont="1" applyBorder="1" applyAlignment="1">
      <alignment horizontal="center"/>
    </xf>
    <xf numFmtId="165" fontId="3" fillId="0" borderId="35" xfId="0" quotePrefix="1" applyNumberFormat="1" applyFont="1" applyBorder="1" applyAlignment="1">
      <alignment horizontal="center"/>
    </xf>
    <xf numFmtId="15" fontId="19" fillId="0" borderId="0" xfId="0" applyNumberFormat="1" applyFont="1" applyAlignment="1">
      <alignment horizontal="left"/>
    </xf>
    <xf numFmtId="165" fontId="3" fillId="0" borderId="36" xfId="0" applyNumberFormat="1" applyFont="1" applyBorder="1"/>
    <xf numFmtId="165" fontId="3" fillId="0" borderId="37" xfId="0" quotePrefix="1" applyNumberFormat="1" applyFont="1" applyBorder="1" applyAlignment="1">
      <alignment horizontal="center"/>
    </xf>
    <xf numFmtId="165" fontId="3" fillId="0" borderId="38" xfId="0" quotePrefix="1" applyNumberFormat="1" applyFont="1" applyBorder="1" applyAlignment="1">
      <alignment horizontal="center"/>
    </xf>
    <xf numFmtId="165" fontId="3" fillId="0" borderId="39" xfId="0" quotePrefix="1" applyNumberFormat="1" applyFont="1" applyBorder="1" applyAlignment="1">
      <alignment horizontal="center"/>
    </xf>
    <xf numFmtId="165" fontId="3" fillId="0" borderId="20" xfId="0" quotePrefix="1" applyNumberFormat="1" applyFont="1" applyBorder="1" applyAlignment="1">
      <alignment horizontal="center"/>
    </xf>
    <xf numFmtId="165" fontId="3" fillId="0" borderId="40" xfId="0" applyNumberFormat="1" applyFont="1" applyBorder="1"/>
    <xf numFmtId="165" fontId="3" fillId="0" borderId="41" xfId="0" quotePrefix="1" applyNumberFormat="1" applyFont="1" applyBorder="1" applyAlignment="1">
      <alignment horizontal="center"/>
    </xf>
    <xf numFmtId="165" fontId="3" fillId="0" borderId="42" xfId="0" quotePrefix="1" applyNumberFormat="1" applyFont="1" applyBorder="1" applyAlignment="1">
      <alignment horizontal="center"/>
    </xf>
    <xf numFmtId="2" fontId="3" fillId="0" borderId="20" xfId="0" applyNumberFormat="1" applyFont="1" applyBorder="1"/>
    <xf numFmtId="2" fontId="3" fillId="0" borderId="19" xfId="0" applyNumberFormat="1" applyFont="1" applyBorder="1"/>
    <xf numFmtId="2" fontId="3" fillId="0" borderId="16" xfId="0" applyNumberFormat="1" applyFont="1" applyBorder="1"/>
    <xf numFmtId="0" fontId="20" fillId="0" borderId="0" xfId="0" applyFont="1" applyAlignment="1">
      <alignment vertical="top" wrapText="1"/>
    </xf>
    <xf numFmtId="0" fontId="0" fillId="10" borderId="0" xfId="0" applyFill="1"/>
    <xf numFmtId="0" fontId="2" fillId="0" borderId="0" xfId="0" applyFont="1" applyAlignment="1">
      <alignment horizontal="left"/>
    </xf>
    <xf numFmtId="167" fontId="3" fillId="8" borderId="6" xfId="0" applyNumberFormat="1" applyFont="1" applyFill="1" applyBorder="1"/>
    <xf numFmtId="167" fontId="3" fillId="8" borderId="16" xfId="0" applyNumberFormat="1" applyFont="1" applyFill="1" applyBorder="1"/>
    <xf numFmtId="166" fontId="3" fillId="11" borderId="6" xfId="0" applyNumberFormat="1" applyFont="1" applyFill="1" applyBorder="1"/>
    <xf numFmtId="166" fontId="3" fillId="11" borderId="16" xfId="0" applyNumberFormat="1" applyFont="1" applyFill="1" applyBorder="1"/>
    <xf numFmtId="0" fontId="3" fillId="0" borderId="0" xfId="0" applyFont="1" applyAlignment="1">
      <alignment horizontal="center"/>
    </xf>
    <xf numFmtId="15" fontId="3" fillId="0" borderId="0" xfId="0" applyNumberFormat="1" applyFont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12" borderId="48" xfId="0" applyFont="1" applyFill="1" applyBorder="1" applyAlignment="1">
      <alignment horizontal="center" vertical="center"/>
    </xf>
    <xf numFmtId="0" fontId="3" fillId="12" borderId="48" xfId="0" applyFont="1" applyFill="1" applyBorder="1" applyAlignment="1">
      <alignment horizontal="center"/>
    </xf>
    <xf numFmtId="164" fontId="3" fillId="0" borderId="48" xfId="0" applyNumberFormat="1" applyFont="1" applyFill="1" applyBorder="1" applyAlignment="1">
      <alignment horizontal="center"/>
    </xf>
    <xf numFmtId="165" fontId="21" fillId="15" borderId="43" xfId="0" applyNumberFormat="1" applyFont="1" applyFill="1" applyBorder="1" applyAlignment="1">
      <alignment horizontal="center" vertical="center"/>
    </xf>
    <xf numFmtId="165" fontId="21" fillId="15" borderId="0" xfId="0" applyNumberFormat="1" applyFont="1" applyFill="1" applyBorder="1" applyAlignment="1">
      <alignment horizontal="center" vertical="center"/>
    </xf>
    <xf numFmtId="165" fontId="21" fillId="15" borderId="0" xfId="0" applyNumberFormat="1" applyFont="1" applyFill="1" applyBorder="1" applyAlignment="1">
      <alignment horizontal="center"/>
    </xf>
    <xf numFmtId="165" fontId="21" fillId="15" borderId="24" xfId="0" applyNumberFormat="1" applyFont="1" applyFill="1" applyBorder="1" applyAlignment="1">
      <alignment horizontal="center"/>
    </xf>
    <xf numFmtId="165" fontId="21" fillId="15" borderId="2" xfId="0" applyNumberFormat="1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165" fontId="3" fillId="0" borderId="20" xfId="0" applyNumberFormat="1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/>
    </xf>
    <xf numFmtId="165" fontId="3" fillId="0" borderId="47" xfId="0" applyNumberFormat="1" applyFont="1" applyBorder="1" applyAlignment="1">
      <alignment horizontal="center"/>
    </xf>
    <xf numFmtId="165" fontId="3" fillId="0" borderId="20" xfId="0" applyNumberFormat="1" applyFont="1" applyFill="1" applyBorder="1" applyAlignment="1">
      <alignment horizontal="center" vertical="center"/>
    </xf>
    <xf numFmtId="165" fontId="3" fillId="0" borderId="19" xfId="0" applyNumberFormat="1" applyFont="1" applyFill="1" applyBorder="1" applyAlignment="1">
      <alignment horizontal="center" vertical="center"/>
    </xf>
    <xf numFmtId="165" fontId="3" fillId="0" borderId="47" xfId="0" applyNumberFormat="1" applyFont="1" applyFill="1" applyBorder="1" applyAlignment="1">
      <alignment horizontal="center"/>
    </xf>
    <xf numFmtId="165" fontId="23" fillId="0" borderId="19" xfId="0" applyNumberFormat="1" applyFont="1" applyBorder="1" applyAlignment="1">
      <alignment horizontal="center" vertical="center"/>
    </xf>
    <xf numFmtId="165" fontId="23" fillId="0" borderId="20" xfId="0" applyNumberFormat="1" applyFont="1" applyBorder="1" applyAlignment="1">
      <alignment horizontal="center"/>
    </xf>
    <xf numFmtId="165" fontId="23" fillId="0" borderId="47" xfId="0" applyNumberFormat="1" applyFont="1" applyFill="1" applyBorder="1" applyAlignment="1">
      <alignment horizontal="center" vertical="center"/>
    </xf>
    <xf numFmtId="165" fontId="23" fillId="0" borderId="20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/>
    </xf>
    <xf numFmtId="164" fontId="23" fillId="0" borderId="0" xfId="0" applyNumberFormat="1" applyFont="1" applyAlignment="1">
      <alignment horizontal="center"/>
    </xf>
    <xf numFmtId="165" fontId="23" fillId="0" borderId="19" xfId="0" applyNumberFormat="1" applyFont="1" applyFill="1" applyBorder="1" applyAlignment="1">
      <alignment horizontal="center" vertical="center"/>
    </xf>
    <xf numFmtId="165" fontId="23" fillId="0" borderId="19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horizontal="left" wrapText="1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6" fillId="0" borderId="3" xfId="0" applyFont="1" applyBorder="1" applyAlignment="1">
      <alignment horizontal="center"/>
    </xf>
    <xf numFmtId="15" fontId="20" fillId="0" borderId="0" xfId="0" applyNumberFormat="1" applyFont="1" applyAlignment="1">
      <alignment horizontal="left"/>
    </xf>
    <xf numFmtId="15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12" borderId="5" xfId="0" applyFont="1" applyFill="1" applyBorder="1" applyAlignment="1">
      <alignment horizontal="center" vertical="center"/>
    </xf>
    <xf numFmtId="0" fontId="3" fillId="12" borderId="48" xfId="0" applyFont="1" applyFill="1" applyBorder="1" applyAlignment="1">
      <alignment horizontal="center" vertical="center"/>
    </xf>
    <xf numFmtId="0" fontId="3" fillId="12" borderId="50" xfId="0" applyFont="1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3" fillId="12" borderId="20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165" fontId="3" fillId="0" borderId="17" xfId="0" applyNumberFormat="1" applyFont="1" applyBorder="1" applyAlignment="1">
      <alignment horizontal="center" vertical="center"/>
    </xf>
    <xf numFmtId="165" fontId="3" fillId="0" borderId="43" xfId="0" applyNumberFormat="1" applyFont="1" applyBorder="1" applyAlignment="1">
      <alignment horizontal="center" vertical="center"/>
    </xf>
    <xf numFmtId="165" fontId="21" fillId="14" borderId="17" xfId="0" applyNumberFormat="1" applyFont="1" applyFill="1" applyBorder="1" applyAlignment="1">
      <alignment horizontal="center" vertical="center"/>
    </xf>
    <xf numFmtId="165" fontId="21" fillId="14" borderId="44" xfId="0" applyNumberFormat="1" applyFont="1" applyFill="1" applyBorder="1" applyAlignment="1">
      <alignment horizontal="center" vertical="center"/>
    </xf>
    <xf numFmtId="165" fontId="3" fillId="13" borderId="44" xfId="0" applyNumberFormat="1" applyFont="1" applyFill="1" applyBorder="1" applyAlignment="1">
      <alignment horizontal="center" vertical="center"/>
    </xf>
    <xf numFmtId="0" fontId="3" fillId="12" borderId="17" xfId="0" applyFont="1" applyFill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3" fillId="0" borderId="0" xfId="0" applyNumberFormat="1" applyFont="1" applyBorder="1" applyAlignment="1">
      <alignment horizontal="center"/>
    </xf>
    <xf numFmtId="165" fontId="21" fillId="14" borderId="6" xfId="0" applyNumberFormat="1" applyFont="1" applyFill="1" applyBorder="1" applyAlignment="1">
      <alignment horizontal="center" vertical="center"/>
    </xf>
    <xf numFmtId="165" fontId="3" fillId="13" borderId="24" xfId="0" applyNumberFormat="1" applyFont="1" applyFill="1" applyBorder="1" applyAlignment="1">
      <alignment horizontal="center" vertical="center"/>
    </xf>
    <xf numFmtId="165" fontId="3" fillId="0" borderId="6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165" fontId="3" fillId="13" borderId="0" xfId="0" applyNumberFormat="1" applyFont="1" applyFill="1" applyBorder="1" applyAlignment="1">
      <alignment horizontal="center" vertical="center"/>
    </xf>
    <xf numFmtId="164" fontId="3" fillId="12" borderId="47" xfId="0" applyNumberFormat="1" applyFont="1" applyFill="1" applyBorder="1" applyAlignment="1">
      <alignment horizontal="center"/>
    </xf>
    <xf numFmtId="164" fontId="3" fillId="12" borderId="45" xfId="0" applyNumberFormat="1" applyFont="1" applyFill="1" applyBorder="1" applyAlignment="1">
      <alignment horizontal="center"/>
    </xf>
    <xf numFmtId="164" fontId="21" fillId="15" borderId="49" xfId="0" applyNumberFormat="1" applyFont="1" applyFill="1" applyBorder="1" applyAlignment="1">
      <alignment horizontal="center"/>
    </xf>
    <xf numFmtId="164" fontId="21" fillId="14" borderId="49" xfId="0" applyNumberFormat="1" applyFont="1" applyFill="1" applyBorder="1" applyAlignment="1">
      <alignment horizontal="center"/>
    </xf>
    <xf numFmtId="164" fontId="3" fillId="12" borderId="49" xfId="0" applyNumberFormat="1" applyFont="1" applyFill="1" applyBorder="1" applyAlignment="1">
      <alignment horizontal="center"/>
    </xf>
    <xf numFmtId="165" fontId="3" fillId="0" borderId="45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21" fillId="14" borderId="45" xfId="0" applyNumberFormat="1" applyFont="1" applyFill="1" applyBorder="1" applyAlignment="1">
      <alignment horizontal="center" vertical="center"/>
    </xf>
    <xf numFmtId="165" fontId="3" fillId="13" borderId="46" xfId="0" applyNumberFormat="1" applyFont="1" applyFill="1" applyBorder="1" applyAlignment="1">
      <alignment horizontal="center" vertical="center"/>
    </xf>
    <xf numFmtId="165" fontId="21" fillId="14" borderId="19" xfId="0" applyNumberFormat="1" applyFont="1" applyFill="1" applyBorder="1" applyAlignment="1">
      <alignment horizontal="center" vertical="center"/>
    </xf>
    <xf numFmtId="165" fontId="3" fillId="13" borderId="6" xfId="0" applyNumberFormat="1" applyFont="1" applyFill="1" applyBorder="1" applyAlignment="1">
      <alignment horizontal="center" vertical="center"/>
    </xf>
    <xf numFmtId="165" fontId="21" fillId="14" borderId="19" xfId="0" applyNumberFormat="1" applyFont="1" applyFill="1" applyBorder="1" applyAlignment="1">
      <alignment horizontal="center"/>
    </xf>
    <xf numFmtId="165" fontId="3" fillId="13" borderId="19" xfId="0" applyNumberFormat="1" applyFont="1" applyFill="1" applyBorder="1" applyAlignment="1">
      <alignment horizontal="center"/>
    </xf>
    <xf numFmtId="165" fontId="3" fillId="0" borderId="45" xfId="0" applyNumberFormat="1" applyFont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165" fontId="21" fillId="14" borderId="45" xfId="0" applyNumberFormat="1" applyFont="1" applyFill="1" applyBorder="1" applyAlignment="1">
      <alignment horizontal="center"/>
    </xf>
    <xf numFmtId="165" fontId="3" fillId="13" borderId="2" xfId="0" applyNumberFormat="1" applyFont="1" applyFill="1" applyBorder="1" applyAlignment="1">
      <alignment horizontal="center"/>
    </xf>
    <xf numFmtId="165" fontId="3" fillId="13" borderId="46" xfId="0" applyNumberFormat="1" applyFont="1" applyFill="1" applyBorder="1" applyAlignment="1">
      <alignment horizontal="center"/>
    </xf>
    <xf numFmtId="164" fontId="3" fillId="12" borderId="50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1" fontId="3" fillId="0" borderId="0" xfId="0" quotePrefix="1" applyNumberFormat="1" applyFont="1" applyAlignment="1">
      <alignment horizontal="left"/>
    </xf>
    <xf numFmtId="0" fontId="3" fillId="0" borderId="51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3" fillId="0" borderId="56" xfId="0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56" xfId="0" applyFont="1" applyBorder="1" applyAlignment="1">
      <alignment horizontal="center" wrapText="1"/>
    </xf>
    <xf numFmtId="0" fontId="3" fillId="0" borderId="47" xfId="0" applyFont="1" applyBorder="1" applyAlignment="1">
      <alignment horizontal="center" wrapText="1"/>
    </xf>
    <xf numFmtId="0" fontId="3" fillId="0" borderId="57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8" borderId="56" xfId="0" applyFont="1" applyFill="1" applyBorder="1" applyAlignment="1">
      <alignment horizontal="center"/>
    </xf>
    <xf numFmtId="0" fontId="3" fillId="8" borderId="47" xfId="0" applyFont="1" applyFill="1" applyBorder="1" applyAlignment="1">
      <alignment horizontal="center"/>
    </xf>
    <xf numFmtId="0" fontId="3" fillId="9" borderId="58" xfId="0" applyFont="1" applyFill="1" applyBorder="1" applyAlignment="1">
      <alignment horizontal="center" wrapText="1"/>
    </xf>
    <xf numFmtId="0" fontId="3" fillId="9" borderId="59" xfId="0" applyFont="1" applyFill="1" applyBorder="1" applyAlignment="1">
      <alignment horizontal="center" wrapText="1"/>
    </xf>
    <xf numFmtId="0" fontId="3" fillId="7" borderId="56" xfId="0" applyFont="1" applyFill="1" applyBorder="1" applyAlignment="1">
      <alignment horizontal="center"/>
    </xf>
    <xf numFmtId="0" fontId="3" fillId="7" borderId="47" xfId="0" applyFont="1" applyFill="1" applyBorder="1" applyAlignment="1">
      <alignment horizontal="center"/>
    </xf>
    <xf numFmtId="0" fontId="3" fillId="11" borderId="56" xfId="0" applyFont="1" applyFill="1" applyBorder="1" applyAlignment="1">
      <alignment horizontal="center"/>
    </xf>
    <xf numFmtId="0" fontId="3" fillId="11" borderId="4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1</xdr:row>
          <xdr:rowOff>57150</xdr:rowOff>
        </xdr:from>
        <xdr:to>
          <xdr:col>15</xdr:col>
          <xdr:colOff>1219200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3</xdr:row>
          <xdr:rowOff>273050</xdr:rowOff>
        </xdr:from>
        <xdr:to>
          <xdr:col>15</xdr:col>
          <xdr:colOff>1231900</xdr:colOff>
          <xdr:row>5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4</xdr:row>
          <xdr:rowOff>44450</xdr:rowOff>
        </xdr:from>
        <xdr:to>
          <xdr:col>15</xdr:col>
          <xdr:colOff>266700</xdr:colOff>
          <xdr:row>6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Error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190500</xdr:rowOff>
    </xdr:from>
    <xdr:to>
      <xdr:col>16</xdr:col>
      <xdr:colOff>19050</xdr:colOff>
      <xdr:row>2</xdr:row>
      <xdr:rowOff>190500</xdr:rowOff>
    </xdr:to>
    <xdr:sp macro="" textlink="">
      <xdr:nvSpPr>
        <xdr:cNvPr id="31155" name="Line 1">
          <a:extLst>
            <a:ext uri="{FF2B5EF4-FFF2-40B4-BE49-F238E27FC236}">
              <a16:creationId xmlns:a16="http://schemas.microsoft.com/office/drawing/2014/main" id="{00000000-0008-0000-0200-0000B3790000}"/>
            </a:ext>
          </a:extLst>
        </xdr:cNvPr>
        <xdr:cNvSpPr>
          <a:spLocks noChangeShapeType="1"/>
        </xdr:cNvSpPr>
      </xdr:nvSpPr>
      <xdr:spPr bwMode="auto">
        <a:xfrm>
          <a:off x="0" y="685800"/>
          <a:ext cx="105441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10</xdr:col>
      <xdr:colOff>495300</xdr:colOff>
      <xdr:row>9</xdr:row>
      <xdr:rowOff>238125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048500" y="2638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twoCellAnchor editAs="oneCell">
    <xdr:from>
      <xdr:col>11</xdr:col>
      <xdr:colOff>695235</xdr:colOff>
      <xdr:row>22</xdr:row>
      <xdr:rowOff>9360</xdr:rowOff>
    </xdr:from>
    <xdr:to>
      <xdr:col>12</xdr:col>
      <xdr:colOff>270</xdr:colOff>
      <xdr:row>22</xdr:row>
      <xdr:rowOff>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14:cNvPr>
            <xdr14:cNvContentPartPr/>
          </xdr14:nvContentPartPr>
          <xdr14:nvPr macro=""/>
          <xdr14:xfrm>
            <a:off x="7943760" y="6867360"/>
            <a:ext cx="360" cy="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3A15010-21A9-DC6A-9144-8046647D43F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35120" y="6858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495300</xdr:colOff>
          <xdr:row>3</xdr:row>
          <xdr:rowOff>63500</xdr:rowOff>
        </xdr:from>
        <xdr:to>
          <xdr:col>19</xdr:col>
          <xdr:colOff>57150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Low/High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485775</xdr:colOff>
      <xdr:row>24</xdr:row>
      <xdr:rowOff>47626</xdr:rowOff>
    </xdr:from>
    <xdr:ext cx="377190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648075" y="5172076"/>
          <a:ext cx="377190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SG" sz="1100" b="0" i="0">
              <a:latin typeface="Cambria Math" panose="02040503050406030204" pitchFamily="18" charset="0"/>
            </a:rPr>
            <a:t>(𝑈𝑛𝑐𝑒𝑟𝑡𝑎𝑖𝑛𝑡𝑦 𝑖𝑛 %)/100∗𝐶𝑜𝑟𝑟𝑒𝑠𝑝𝑜𝑛𝑑𝑖𝑛𝑔 𝑅𝑒𝑓𝑒𝑟𝑒𝑛𝑐𝑒 𝑃𝑜𝑖𝑛𝑡)</a:t>
          </a:r>
          <a:endParaRPr lang="en-SG" sz="1100" b="0"/>
        </a:p>
        <a:p>
          <a:endParaRPr lang="en-SG" sz="1100"/>
        </a:p>
      </xdr:txBody>
    </xdr:sp>
    <xdr:clientData/>
  </xdr:oneCellAnchor>
  <xdr:oneCellAnchor>
    <xdr:from>
      <xdr:col>6</xdr:col>
      <xdr:colOff>558799</xdr:colOff>
      <xdr:row>28</xdr:row>
      <xdr:rowOff>41276</xdr:rowOff>
    </xdr:from>
    <xdr:ext cx="993775" cy="2349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302249" y="5889626"/>
          <a:ext cx="993775" cy="2349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SG" sz="1100" b="0" i="0">
              <a:latin typeface="Cambria Math" panose="02040503050406030204" pitchFamily="18" charset="0"/>
            </a:rPr>
            <a:t>𝑠𝑞𝑟𝑡(𝑎^2+𝑏^2 )</a:t>
          </a:r>
          <a:endParaRPr lang="en-SG" sz="1100" b="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5-13T06:51:06.223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1 0 24575,'0'0'-8191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2"/>
  <sheetViews>
    <sheetView tabSelected="1" zoomScale="85" zoomScaleNormal="85" zoomScaleSheetLayoutView="115" workbookViewId="0">
      <selection activeCell="L10" sqref="L10:M11"/>
    </sheetView>
  </sheetViews>
  <sheetFormatPr defaultColWidth="0" defaultRowHeight="12.5" x14ac:dyDescent="0.25"/>
  <cols>
    <col min="1" max="1" width="9.7265625" customWidth="1"/>
    <col min="2" max="2" width="11.54296875" customWidth="1"/>
    <col min="3" max="3" width="1.7265625" customWidth="1"/>
    <col min="4" max="6" width="9.7265625" customWidth="1"/>
    <col min="7" max="7" width="5.54296875" customWidth="1"/>
    <col min="8" max="8" width="5.81640625" customWidth="1"/>
    <col min="9" max="9" width="7.453125" customWidth="1"/>
    <col min="10" max="10" width="15.26953125" customWidth="1"/>
    <col min="11" max="11" width="1.7265625" customWidth="1"/>
    <col min="12" max="12" width="10.1796875" customWidth="1"/>
    <col min="13" max="13" width="8.81640625" customWidth="1"/>
    <col min="14" max="14" width="12.1796875" customWidth="1"/>
    <col min="15" max="15" width="8.7265625" customWidth="1"/>
    <col min="16" max="16" width="20" bestFit="1" customWidth="1"/>
    <col min="17" max="17" width="0" hidden="1" customWidth="1"/>
    <col min="18" max="16384" width="8.7265625" hidden="1"/>
  </cols>
  <sheetData>
    <row r="1" spans="1:16" ht="13" thickBot="1" x14ac:dyDescent="0.3"/>
    <row r="2" spans="1:16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6" ht="22.5" x14ac:dyDescent="0.45">
      <c r="A3" s="224" t="s">
        <v>0</v>
      </c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</row>
    <row r="4" spans="1:16" ht="23" thickBot="1" x14ac:dyDescent="0.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</row>
    <row r="5" spans="1:16" ht="19.5" customHeight="1" x14ac:dyDescent="0.35">
      <c r="A5" s="11"/>
      <c r="B5" s="113"/>
      <c r="C5" s="113"/>
      <c r="D5" s="2"/>
      <c r="E5" s="2"/>
      <c r="F5" s="2"/>
      <c r="G5" s="2"/>
      <c r="H5" s="2"/>
      <c r="I5" s="2"/>
      <c r="J5" s="2"/>
      <c r="K5" s="2"/>
      <c r="L5" s="3"/>
      <c r="M5" s="2"/>
      <c r="N5" s="4"/>
      <c r="P5" s="135"/>
    </row>
    <row r="6" spans="1:16" ht="19.5" customHeight="1" x14ac:dyDescent="0.35">
      <c r="A6" s="11" t="s">
        <v>1</v>
      </c>
      <c r="B6" s="113"/>
      <c r="C6" s="2" t="s">
        <v>2</v>
      </c>
      <c r="D6" s="228" t="s">
        <v>101</v>
      </c>
      <c r="E6" s="228"/>
      <c r="F6" s="2"/>
      <c r="G6" s="2"/>
      <c r="H6" s="2"/>
      <c r="I6" s="2" t="s">
        <v>3</v>
      </c>
      <c r="J6" s="2"/>
      <c r="K6" s="2" t="s">
        <v>2</v>
      </c>
      <c r="L6" s="18" t="s">
        <v>97</v>
      </c>
      <c r="M6" s="2"/>
      <c r="N6" s="4"/>
    </row>
    <row r="7" spans="1:16" ht="10.5" customHeight="1" x14ac:dyDescent="0.35">
      <c r="A7" s="11"/>
      <c r="B7" s="113"/>
      <c r="C7" s="113"/>
      <c r="D7" s="2"/>
      <c r="E7" s="2"/>
      <c r="F7" s="2"/>
      <c r="G7" s="2"/>
      <c r="H7" s="2"/>
      <c r="I7" s="2"/>
      <c r="J7" s="2"/>
      <c r="K7" s="2"/>
      <c r="L7" s="3"/>
      <c r="M7" s="2"/>
      <c r="N7" s="4"/>
    </row>
    <row r="8" spans="1:16" ht="19.5" customHeight="1" x14ac:dyDescent="0.35">
      <c r="A8" s="11" t="s">
        <v>4</v>
      </c>
      <c r="B8" s="113"/>
      <c r="C8" s="2" t="s">
        <v>2</v>
      </c>
      <c r="D8" s="227" t="s">
        <v>119</v>
      </c>
      <c r="E8" s="227"/>
      <c r="F8" s="227"/>
      <c r="G8" s="227"/>
      <c r="H8" s="144"/>
      <c r="I8" s="2" t="s">
        <v>5</v>
      </c>
      <c r="J8" s="2"/>
      <c r="K8" s="2" t="s">
        <v>2</v>
      </c>
      <c r="L8" s="225" t="s">
        <v>19</v>
      </c>
      <c r="M8" s="225"/>
      <c r="N8" s="4"/>
      <c r="P8" s="135"/>
    </row>
    <row r="9" spans="1:16" ht="19.5" customHeight="1" x14ac:dyDescent="0.35">
      <c r="A9" s="11"/>
      <c r="B9" s="113"/>
      <c r="C9" s="113"/>
      <c r="D9" s="186"/>
      <c r="E9" s="186"/>
      <c r="F9" s="186"/>
      <c r="G9" s="186"/>
      <c r="H9" s="144"/>
      <c r="I9" s="2" t="s">
        <v>6</v>
      </c>
      <c r="J9" s="2"/>
      <c r="K9" s="2" t="s">
        <v>2</v>
      </c>
      <c r="L9" s="225" t="s">
        <v>20</v>
      </c>
      <c r="M9" s="225"/>
      <c r="N9" s="234"/>
      <c r="P9" s="135"/>
    </row>
    <row r="10" spans="1:16" ht="19.5" customHeight="1" x14ac:dyDescent="0.35">
      <c r="A10" s="11"/>
      <c r="B10" s="113"/>
      <c r="C10" s="113"/>
      <c r="D10" s="227"/>
      <c r="E10" s="227"/>
      <c r="F10" s="227"/>
      <c r="G10" s="186"/>
      <c r="H10" s="143"/>
      <c r="I10" s="2" t="s">
        <v>7</v>
      </c>
      <c r="J10" s="2"/>
      <c r="K10" s="2" t="s">
        <v>2</v>
      </c>
      <c r="L10" s="232">
        <v>44981</v>
      </c>
      <c r="M10" s="232"/>
      <c r="N10" s="4"/>
      <c r="P10" s="136"/>
    </row>
    <row r="11" spans="1:16" ht="19.5" customHeight="1" x14ac:dyDescent="0.35">
      <c r="A11" s="11"/>
      <c r="B11" s="113"/>
      <c r="C11" s="113"/>
      <c r="D11" s="186"/>
      <c r="E11" s="186"/>
      <c r="F11" s="186"/>
      <c r="G11" s="186"/>
      <c r="H11" s="143"/>
      <c r="I11" s="2"/>
      <c r="J11" s="2"/>
      <c r="K11" s="2"/>
      <c r="L11" s="174"/>
      <c r="M11" s="2"/>
      <c r="N11" s="4"/>
      <c r="P11" s="137"/>
    </row>
    <row r="12" spans="1:16" ht="19.5" customHeight="1" x14ac:dyDescent="0.35">
      <c r="A12" s="11"/>
      <c r="B12" s="113"/>
      <c r="C12" s="113"/>
      <c r="D12" s="186"/>
      <c r="E12" s="186"/>
      <c r="F12" s="186"/>
      <c r="G12" s="186"/>
      <c r="H12" s="143"/>
      <c r="I12" s="2"/>
      <c r="J12" s="2"/>
      <c r="K12" s="2"/>
      <c r="L12" s="13"/>
      <c r="M12" s="2"/>
      <c r="N12" s="4"/>
      <c r="P12" s="135"/>
    </row>
    <row r="13" spans="1:16" ht="10.5" customHeight="1" x14ac:dyDescent="0.35">
      <c r="A13" s="11"/>
      <c r="B13" s="113"/>
      <c r="C13" s="113"/>
      <c r="D13" s="2"/>
      <c r="E13" s="2"/>
      <c r="F13" s="2"/>
      <c r="G13" s="2"/>
      <c r="H13" s="2"/>
      <c r="I13" s="2"/>
      <c r="J13" s="2"/>
      <c r="K13" s="2"/>
      <c r="L13" s="3"/>
      <c r="M13" s="2"/>
      <c r="N13" s="4"/>
      <c r="P13" s="135"/>
    </row>
    <row r="14" spans="1:16" ht="19.5" customHeight="1" x14ac:dyDescent="0.35">
      <c r="A14" s="11" t="s">
        <v>9</v>
      </c>
      <c r="B14" s="113"/>
      <c r="C14" s="2" t="s">
        <v>2</v>
      </c>
      <c r="D14" s="135" t="s">
        <v>8</v>
      </c>
      <c r="E14" s="163"/>
      <c r="F14" s="163"/>
      <c r="G14" s="158"/>
      <c r="H14" s="2"/>
      <c r="I14" s="2" t="s">
        <v>10</v>
      </c>
      <c r="J14" s="2"/>
      <c r="K14" s="2" t="s">
        <v>2</v>
      </c>
      <c r="L14" s="135" t="s">
        <v>17</v>
      </c>
      <c r="M14" s="2"/>
      <c r="N14" s="4"/>
      <c r="P14" s="135"/>
    </row>
    <row r="15" spans="1:16" ht="19.5" customHeight="1" x14ac:dyDescent="0.35">
      <c r="A15" s="11" t="s">
        <v>11</v>
      </c>
      <c r="B15" s="113"/>
      <c r="C15" s="2" t="s">
        <v>2</v>
      </c>
      <c r="D15" s="2" t="s">
        <v>108</v>
      </c>
      <c r="E15" s="2"/>
      <c r="F15" s="2"/>
      <c r="G15" s="2"/>
      <c r="H15" s="2"/>
      <c r="I15" s="18" t="s">
        <v>12</v>
      </c>
      <c r="J15" s="18"/>
      <c r="K15" s="2" t="s">
        <v>2</v>
      </c>
      <c r="L15" s="59" t="s">
        <v>13</v>
      </c>
      <c r="M15" s="2"/>
      <c r="N15" s="4"/>
      <c r="P15" s="135"/>
    </row>
    <row r="16" spans="1:16" ht="19.5" customHeight="1" x14ac:dyDescent="0.35">
      <c r="A16" s="11" t="s">
        <v>14</v>
      </c>
      <c r="B16" s="113"/>
      <c r="C16" s="2" t="s">
        <v>2</v>
      </c>
      <c r="D16" s="2" t="s">
        <v>109</v>
      </c>
      <c r="E16" s="2"/>
      <c r="F16" s="2"/>
      <c r="G16" s="2"/>
      <c r="H16" s="2"/>
      <c r="I16" s="2" t="s">
        <v>15</v>
      </c>
      <c r="J16" s="2"/>
      <c r="K16" s="2" t="s">
        <v>2</v>
      </c>
      <c r="L16" s="134" t="s">
        <v>16</v>
      </c>
      <c r="M16" s="2"/>
      <c r="N16" s="4"/>
      <c r="P16" s="135"/>
    </row>
    <row r="17" spans="1:17" ht="19.5" customHeight="1" x14ac:dyDescent="0.35">
      <c r="A17" s="11" t="s">
        <v>18</v>
      </c>
      <c r="B17" s="113"/>
      <c r="C17" s="2" t="s">
        <v>2</v>
      </c>
      <c r="D17" s="18" t="s">
        <v>110</v>
      </c>
      <c r="E17" s="2"/>
      <c r="F17" s="2"/>
      <c r="G17" s="2"/>
      <c r="H17" s="2"/>
      <c r="I17" s="2"/>
      <c r="J17" s="2"/>
      <c r="K17" s="2"/>
      <c r="L17" s="3"/>
      <c r="M17" s="2"/>
      <c r="N17" s="4"/>
      <c r="P17" s="135"/>
    </row>
    <row r="18" spans="1:17" ht="19.5" customHeight="1" x14ac:dyDescent="0.35">
      <c r="A18" s="11"/>
      <c r="B18" s="113"/>
      <c r="C18" s="113"/>
      <c r="D18" s="2"/>
      <c r="E18" s="2"/>
      <c r="F18" s="2"/>
      <c r="G18" s="2"/>
      <c r="H18" s="2"/>
      <c r="I18" s="2"/>
      <c r="J18" s="2"/>
      <c r="K18" s="2"/>
      <c r="L18" s="3"/>
      <c r="M18" s="2"/>
      <c r="N18" s="4"/>
      <c r="P18" s="135"/>
    </row>
    <row r="19" spans="1:17" ht="19.5" customHeight="1" thickBot="1" x14ac:dyDescent="0.4">
      <c r="A19" s="96"/>
      <c r="B19" s="114"/>
      <c r="C19" s="114"/>
      <c r="D19" s="115"/>
      <c r="E19" s="115"/>
      <c r="F19" s="115"/>
      <c r="G19" s="115"/>
      <c r="H19" s="115"/>
      <c r="I19" s="115"/>
      <c r="J19" s="115"/>
      <c r="K19" s="115"/>
      <c r="L19" s="116"/>
      <c r="M19" s="115"/>
      <c r="N19" s="117"/>
      <c r="P19" s="135"/>
    </row>
    <row r="20" spans="1:17" s="1" customFormat="1" ht="19.5" customHeight="1" x14ac:dyDescent="0.35">
      <c r="A20" s="16" t="s">
        <v>118</v>
      </c>
      <c r="B20" s="5"/>
      <c r="C20" s="5"/>
      <c r="D20" s="2"/>
      <c r="E20" s="2"/>
      <c r="F20" s="2"/>
      <c r="G20" s="2"/>
      <c r="H20" s="2"/>
      <c r="I20" s="2"/>
      <c r="J20" s="2"/>
      <c r="K20" s="2"/>
      <c r="L20" s="2"/>
      <c r="M20" s="9"/>
      <c r="N20" s="10"/>
      <c r="Q20" s="1" t="s">
        <v>105</v>
      </c>
    </row>
    <row r="21" spans="1:17" s="1" customFormat="1" ht="19.5" customHeight="1" x14ac:dyDescent="0.35">
      <c r="A21" s="138" t="s">
        <v>21</v>
      </c>
      <c r="B21" s="5"/>
      <c r="C21" s="5"/>
      <c r="D21" s="2"/>
      <c r="E21" s="2"/>
      <c r="F21" s="2"/>
      <c r="G21" s="2"/>
      <c r="H21" s="2"/>
      <c r="I21" s="2"/>
      <c r="J21" s="2"/>
      <c r="K21" s="2"/>
      <c r="L21" s="2"/>
      <c r="M21" s="9"/>
      <c r="N21" s="10"/>
    </row>
    <row r="22" spans="1:17" s="1" customFormat="1" ht="19.5" customHeight="1" x14ac:dyDescent="0.35">
      <c r="A22" s="138" t="s">
        <v>22</v>
      </c>
      <c r="B22" s="5"/>
      <c r="C22" s="5"/>
      <c r="D22" s="2"/>
      <c r="E22" s="2"/>
      <c r="F22" s="2"/>
      <c r="G22" s="2"/>
      <c r="H22" s="2"/>
      <c r="I22" s="2"/>
      <c r="J22" s="2"/>
      <c r="K22" s="2"/>
      <c r="L22" s="2"/>
      <c r="M22" s="9"/>
      <c r="N22" s="10"/>
    </row>
    <row r="23" spans="1:17" s="1" customFormat="1" ht="19.5" customHeight="1" x14ac:dyDescent="0.35">
      <c r="A23" s="16"/>
      <c r="B23" s="5"/>
      <c r="C23" s="5"/>
      <c r="D23" s="2"/>
      <c r="E23" s="2"/>
      <c r="F23" s="2"/>
      <c r="G23" s="2"/>
      <c r="H23" s="2"/>
      <c r="I23" s="2"/>
      <c r="J23" s="2"/>
      <c r="K23" s="2"/>
      <c r="L23" s="2"/>
      <c r="M23" s="9"/>
      <c r="N23" s="10"/>
    </row>
    <row r="24" spans="1:17" s="1" customFormat="1" ht="19.5" customHeight="1" x14ac:dyDescent="0.35">
      <c r="A24" s="17" t="s">
        <v>23</v>
      </c>
      <c r="B24" s="5"/>
      <c r="C24" s="5"/>
      <c r="D24" s="2"/>
      <c r="E24" s="2"/>
      <c r="F24" s="2"/>
      <c r="G24" s="2"/>
      <c r="H24" s="2"/>
      <c r="I24" s="2"/>
      <c r="J24" s="2"/>
      <c r="K24" s="2"/>
      <c r="L24" s="2"/>
      <c r="M24" s="9"/>
      <c r="N24" s="10"/>
    </row>
    <row r="25" spans="1:17" s="1" customFormat="1" ht="19.5" customHeight="1" x14ac:dyDescent="0.35">
      <c r="A25" s="231" t="s">
        <v>24</v>
      </c>
      <c r="B25" s="226"/>
      <c r="C25" s="226"/>
      <c r="D25" s="226" t="s">
        <v>25</v>
      </c>
      <c r="E25" s="226"/>
      <c r="F25" s="226" t="s">
        <v>26</v>
      </c>
      <c r="G25" s="226"/>
      <c r="H25" s="140"/>
      <c r="I25" s="226" t="s">
        <v>27</v>
      </c>
      <c r="J25" s="226"/>
      <c r="K25" s="2"/>
      <c r="L25" s="226" t="s">
        <v>28</v>
      </c>
      <c r="M25" s="226"/>
      <c r="N25" s="10"/>
    </row>
    <row r="26" spans="1:17" s="1" customFormat="1" ht="19.5" customHeight="1" x14ac:dyDescent="0.35">
      <c r="A26" s="235" t="s">
        <v>29</v>
      </c>
      <c r="B26" s="228"/>
      <c r="C26" s="228"/>
      <c r="D26" s="228" t="s">
        <v>113</v>
      </c>
      <c r="E26" s="228"/>
      <c r="F26" s="228" t="s">
        <v>114</v>
      </c>
      <c r="G26" s="228"/>
      <c r="H26" s="134"/>
      <c r="I26" s="228" t="s">
        <v>101</v>
      </c>
      <c r="J26" s="228"/>
      <c r="K26" s="2"/>
      <c r="L26" s="233">
        <v>44794</v>
      </c>
      <c r="M26" s="233"/>
      <c r="N26" s="10"/>
    </row>
    <row r="27" spans="1:17" s="1" customFormat="1" ht="19.5" customHeight="1" x14ac:dyDescent="0.35">
      <c r="A27" s="235" t="s">
        <v>102</v>
      </c>
      <c r="B27" s="228"/>
      <c r="C27" s="228"/>
      <c r="D27" s="228" t="s">
        <v>111</v>
      </c>
      <c r="E27" s="228"/>
      <c r="F27" s="228" t="s">
        <v>115</v>
      </c>
      <c r="G27" s="228"/>
      <c r="H27" s="134"/>
      <c r="I27" s="228" t="s">
        <v>101</v>
      </c>
      <c r="J27" s="228"/>
      <c r="K27" s="2"/>
      <c r="L27" s="233">
        <v>44825</v>
      </c>
      <c r="M27" s="233"/>
      <c r="N27" s="10"/>
    </row>
    <row r="28" spans="1:17" s="1" customFormat="1" ht="19.5" customHeight="1" x14ac:dyDescent="0.35">
      <c r="A28" s="235" t="s">
        <v>103</v>
      </c>
      <c r="B28" s="228"/>
      <c r="C28" s="228"/>
      <c r="D28" s="228" t="s">
        <v>112</v>
      </c>
      <c r="E28" s="228"/>
      <c r="F28" s="228" t="s">
        <v>116</v>
      </c>
      <c r="G28" s="228"/>
      <c r="H28" s="134"/>
      <c r="I28" s="228" t="s">
        <v>101</v>
      </c>
      <c r="J28" s="228"/>
      <c r="K28" s="2"/>
      <c r="L28" s="233">
        <v>45220</v>
      </c>
      <c r="M28" s="233"/>
      <c r="N28" s="10"/>
    </row>
    <row r="29" spans="1:17" s="1" customFormat="1" ht="19.5" customHeight="1" x14ac:dyDescent="0.35">
      <c r="A29" s="195"/>
      <c r="B29" s="193"/>
      <c r="C29" s="193"/>
      <c r="D29" s="193"/>
      <c r="E29" s="193"/>
      <c r="F29" s="193"/>
      <c r="G29" s="193"/>
      <c r="H29" s="134"/>
      <c r="I29" s="193"/>
      <c r="J29" s="193"/>
      <c r="K29" s="2"/>
      <c r="L29" s="194"/>
      <c r="M29" s="194"/>
      <c r="N29" s="10"/>
    </row>
    <row r="30" spans="1:17" s="1" customFormat="1" ht="19.5" customHeight="1" x14ac:dyDescent="0.35">
      <c r="A30" s="7"/>
      <c r="B30" s="5"/>
      <c r="C30" s="5"/>
      <c r="D30" s="2"/>
      <c r="E30" s="2"/>
      <c r="F30" s="2"/>
      <c r="G30" s="2"/>
      <c r="H30" s="2"/>
      <c r="I30" s="2"/>
      <c r="J30" s="2"/>
      <c r="K30" s="2"/>
      <c r="L30" s="2"/>
      <c r="M30" s="9"/>
      <c r="N30" s="10"/>
    </row>
    <row r="31" spans="1:17" s="1" customFormat="1" ht="19.5" customHeight="1" x14ac:dyDescent="0.35">
      <c r="A31" s="17" t="s">
        <v>30</v>
      </c>
      <c r="B31" s="5"/>
      <c r="C31" s="5"/>
      <c r="D31" s="2"/>
      <c r="E31" s="2"/>
      <c r="F31" s="2"/>
      <c r="G31" s="2"/>
      <c r="H31" s="2"/>
      <c r="I31" s="2"/>
      <c r="J31" s="2"/>
      <c r="K31" s="2"/>
      <c r="L31" s="2"/>
      <c r="M31" s="9"/>
      <c r="N31" s="10"/>
    </row>
    <row r="32" spans="1:17" s="1" customFormat="1" ht="19.5" customHeight="1" x14ac:dyDescent="0.35">
      <c r="A32" s="229" t="s">
        <v>31</v>
      </c>
      <c r="B32" s="230"/>
      <c r="C32" s="230"/>
      <c r="D32" s="230"/>
      <c r="E32" s="230"/>
      <c r="F32" s="230"/>
      <c r="G32" s="230"/>
      <c r="H32" s="145" t="s">
        <v>106</v>
      </c>
      <c r="I32" s="145"/>
      <c r="J32" s="2" t="s">
        <v>32</v>
      </c>
      <c r="K32" s="145"/>
      <c r="L32" s="2"/>
      <c r="M32" s="9"/>
      <c r="N32" s="10"/>
    </row>
    <row r="33" spans="1:14" s="1" customFormat="1" ht="19.5" customHeight="1" x14ac:dyDescent="0.35">
      <c r="A33" s="16" t="s">
        <v>107</v>
      </c>
      <c r="B33" s="5"/>
      <c r="C33" s="5"/>
      <c r="D33" s="2"/>
      <c r="E33" s="2"/>
      <c r="F33" s="2"/>
      <c r="G33" s="2"/>
      <c r="H33" s="2"/>
      <c r="I33" s="2"/>
      <c r="J33" s="2"/>
      <c r="K33" s="2"/>
      <c r="L33" s="2"/>
      <c r="M33" s="9"/>
      <c r="N33" s="10"/>
    </row>
    <row r="34" spans="1:14" s="1" customFormat="1" ht="19.5" customHeight="1" x14ac:dyDescent="0.35">
      <c r="A34" s="7"/>
      <c r="B34" s="5"/>
      <c r="C34" s="5"/>
      <c r="D34" s="2"/>
      <c r="E34" s="2"/>
      <c r="F34" s="2"/>
      <c r="G34" s="2"/>
      <c r="H34" s="2"/>
      <c r="I34" s="2"/>
      <c r="J34" s="2"/>
      <c r="K34" s="2"/>
      <c r="L34" s="2"/>
      <c r="M34" s="9"/>
      <c r="N34" s="10"/>
    </row>
    <row r="35" spans="1:14" s="1" customFormat="1" ht="19.5" customHeight="1" x14ac:dyDescent="0.35">
      <c r="A35" s="17" t="s">
        <v>33</v>
      </c>
      <c r="B35" s="5"/>
      <c r="C35" s="5"/>
      <c r="D35" s="2"/>
      <c r="E35" s="2"/>
      <c r="F35" s="2"/>
      <c r="G35" s="2"/>
      <c r="H35" s="2"/>
      <c r="I35" s="2"/>
      <c r="J35" s="2"/>
      <c r="K35" s="2"/>
      <c r="L35" s="2"/>
      <c r="M35" s="9"/>
      <c r="N35" s="10"/>
    </row>
    <row r="36" spans="1:14" s="1" customFormat="1" ht="19.5" customHeight="1" x14ac:dyDescent="0.35">
      <c r="A36" s="16" t="s">
        <v>34</v>
      </c>
      <c r="B36" s="5"/>
      <c r="C36" s="5"/>
      <c r="D36" s="2"/>
      <c r="E36" s="2"/>
      <c r="F36" s="2"/>
      <c r="G36" s="2"/>
      <c r="H36" s="2"/>
      <c r="I36" s="2"/>
      <c r="J36" s="2"/>
      <c r="K36" s="2"/>
      <c r="L36" s="2"/>
      <c r="M36" s="9"/>
      <c r="N36" s="10"/>
    </row>
    <row r="37" spans="1:14" s="1" customFormat="1" ht="19.5" customHeight="1" x14ac:dyDescent="0.35">
      <c r="A37" s="16" t="s">
        <v>35</v>
      </c>
      <c r="B37" s="5"/>
      <c r="C37" s="5"/>
      <c r="D37" s="2"/>
      <c r="E37" s="2"/>
      <c r="F37" s="2"/>
      <c r="G37" s="2"/>
      <c r="H37" s="2"/>
      <c r="I37" s="2"/>
      <c r="J37" s="2"/>
      <c r="K37" s="2"/>
      <c r="L37" s="2"/>
      <c r="M37" s="9"/>
      <c r="N37" s="10"/>
    </row>
    <row r="38" spans="1:14" s="1" customFormat="1" ht="19.5" customHeight="1" x14ac:dyDescent="0.35">
      <c r="A38" s="16" t="s">
        <v>36</v>
      </c>
      <c r="B38" s="5"/>
      <c r="C38" s="5"/>
      <c r="D38" s="2"/>
      <c r="E38" s="2"/>
      <c r="F38" s="2"/>
      <c r="G38" s="2"/>
      <c r="H38" s="2"/>
      <c r="I38" s="2"/>
      <c r="J38" s="2"/>
      <c r="K38" s="2"/>
      <c r="L38" s="2"/>
      <c r="M38" s="9"/>
      <c r="N38" s="10"/>
    </row>
    <row r="39" spans="1:14" s="1" customFormat="1" ht="19.5" customHeight="1" x14ac:dyDescent="0.35">
      <c r="A39" s="16" t="s">
        <v>37</v>
      </c>
      <c r="B39" s="5"/>
      <c r="C39" s="5"/>
      <c r="D39" s="2"/>
      <c r="E39" s="2"/>
      <c r="F39" s="2"/>
      <c r="G39" s="2"/>
      <c r="H39" s="2"/>
      <c r="I39" s="2"/>
      <c r="J39" s="2"/>
      <c r="K39" s="2"/>
      <c r="L39" s="2"/>
      <c r="M39" s="9"/>
      <c r="N39" s="10"/>
    </row>
    <row r="40" spans="1:14" s="1" customFormat="1" ht="19.5" customHeight="1" x14ac:dyDescent="0.35">
      <c r="A40" s="16" t="s">
        <v>117</v>
      </c>
      <c r="B40" s="5"/>
      <c r="C40" s="5"/>
      <c r="D40" s="2"/>
      <c r="E40" s="2"/>
      <c r="F40" s="2"/>
      <c r="G40" s="2"/>
      <c r="H40" s="2"/>
      <c r="I40" s="2"/>
      <c r="J40" s="2"/>
      <c r="K40" s="2"/>
      <c r="L40" s="2"/>
      <c r="M40" s="9"/>
      <c r="N40" s="10"/>
    </row>
    <row r="41" spans="1:14" s="1" customFormat="1" ht="19.5" customHeight="1" x14ac:dyDescent="0.35">
      <c r="A41" s="16" t="s">
        <v>38</v>
      </c>
      <c r="B41" s="5"/>
      <c r="C41" s="5"/>
      <c r="D41" s="2"/>
      <c r="E41" s="2"/>
      <c r="F41" s="2"/>
      <c r="G41" s="2"/>
      <c r="H41" s="2"/>
      <c r="I41" s="2"/>
      <c r="J41" s="2"/>
      <c r="K41" s="2"/>
      <c r="L41" s="2"/>
      <c r="M41" s="9"/>
      <c r="N41" s="10"/>
    </row>
    <row r="42" spans="1:14" s="1" customFormat="1" ht="19.5" customHeight="1" x14ac:dyDescent="0.35">
      <c r="A42" s="16"/>
      <c r="B42" s="5"/>
      <c r="C42" s="5"/>
      <c r="D42" s="2"/>
      <c r="E42" s="2"/>
      <c r="F42" s="2"/>
      <c r="G42" s="2"/>
      <c r="H42" s="2"/>
      <c r="I42" s="2"/>
      <c r="J42" s="2"/>
      <c r="K42" s="2"/>
      <c r="L42" s="2"/>
      <c r="M42" s="9"/>
      <c r="N42" s="10"/>
    </row>
    <row r="43" spans="1:14" s="1" customFormat="1" ht="19.5" customHeight="1" x14ac:dyDescent="0.35">
      <c r="A43" s="16"/>
      <c r="B43" s="5"/>
      <c r="C43" s="5"/>
      <c r="D43" s="2"/>
      <c r="E43" s="2"/>
      <c r="F43" s="2"/>
      <c r="G43" s="2"/>
      <c r="H43" s="2"/>
      <c r="I43" s="2"/>
      <c r="J43" s="2"/>
      <c r="K43" s="2"/>
      <c r="L43" s="2"/>
      <c r="M43" s="9"/>
      <c r="N43" s="10"/>
    </row>
    <row r="44" spans="1:14" s="1" customFormat="1" ht="19.5" customHeight="1" x14ac:dyDescent="0.35">
      <c r="A44" s="16"/>
      <c r="B44" s="5"/>
      <c r="C44" s="5"/>
      <c r="D44" s="2"/>
      <c r="E44" s="2"/>
      <c r="F44" s="2"/>
      <c r="G44" s="2"/>
      <c r="H44" s="2"/>
      <c r="I44" s="2"/>
      <c r="J44" s="2"/>
      <c r="K44" s="2"/>
      <c r="L44" s="2"/>
      <c r="M44" s="9"/>
      <c r="N44" s="10"/>
    </row>
    <row r="45" spans="1:14" s="1" customFormat="1" ht="19.5" customHeight="1" x14ac:dyDescent="0.35">
      <c r="A45" s="16"/>
      <c r="B45" s="5"/>
      <c r="C45" s="5"/>
      <c r="D45" s="2"/>
      <c r="E45" s="2"/>
      <c r="F45" s="2"/>
      <c r="G45" s="2"/>
      <c r="H45" s="2"/>
      <c r="I45" s="2"/>
      <c r="J45" s="2"/>
      <c r="K45" s="2"/>
      <c r="L45" s="2"/>
      <c r="M45" s="9"/>
      <c r="N45" s="10"/>
    </row>
    <row r="46" spans="1:14" s="1" customFormat="1" ht="19.5" customHeight="1" x14ac:dyDescent="0.35">
      <c r="A46" s="16"/>
      <c r="B46" s="5"/>
      <c r="C46" s="5"/>
      <c r="D46" s="2"/>
      <c r="E46" s="2"/>
      <c r="F46" s="2"/>
      <c r="G46" s="2"/>
      <c r="H46" s="2"/>
      <c r="I46" s="2"/>
      <c r="J46" s="2"/>
      <c r="K46" s="2"/>
      <c r="L46" s="2"/>
      <c r="M46" s="9"/>
      <c r="N46" s="10"/>
    </row>
    <row r="47" spans="1:14" s="1" customFormat="1" ht="19.5" customHeight="1" x14ac:dyDescent="0.35">
      <c r="A47" s="16"/>
      <c r="B47" s="5"/>
      <c r="C47" s="5"/>
      <c r="D47" s="2"/>
      <c r="E47" s="2"/>
      <c r="F47" s="2"/>
      <c r="G47" s="2"/>
      <c r="H47" s="2"/>
      <c r="I47" s="2"/>
      <c r="J47" s="2"/>
      <c r="K47" s="2"/>
      <c r="L47" s="2"/>
      <c r="M47" s="9"/>
      <c r="N47" s="10"/>
    </row>
    <row r="48" spans="1:14" s="1" customFormat="1" ht="19.5" customHeight="1" x14ac:dyDescent="0.35">
      <c r="A48" s="16"/>
      <c r="B48" s="5"/>
      <c r="C48" s="5"/>
      <c r="D48" s="2"/>
      <c r="E48" s="2"/>
      <c r="F48" s="2"/>
      <c r="G48" s="2"/>
      <c r="H48" s="2"/>
      <c r="I48" s="2"/>
      <c r="J48" s="13"/>
      <c r="K48" s="13"/>
      <c r="L48" s="14"/>
      <c r="M48" s="2"/>
      <c r="N48" s="10"/>
    </row>
    <row r="49" spans="1:14" s="1" customFormat="1" ht="19.5" customHeight="1" x14ac:dyDescent="0.35">
      <c r="A49" s="12"/>
      <c r="B49" s="13" t="s">
        <v>39</v>
      </c>
      <c r="C49" s="2" t="s">
        <v>2</v>
      </c>
      <c r="D49" s="118"/>
      <c r="E49" s="6"/>
      <c r="F49" s="2"/>
      <c r="G49" s="2"/>
      <c r="H49" s="2"/>
      <c r="I49" s="2"/>
      <c r="J49" s="13" t="s">
        <v>40</v>
      </c>
      <c r="K49" s="2" t="s">
        <v>2</v>
      </c>
      <c r="L49" s="118"/>
      <c r="M49" s="119"/>
      <c r="N49" s="4"/>
    </row>
    <row r="50" spans="1:14" s="1" customFormat="1" ht="19.5" customHeight="1" x14ac:dyDescent="0.35">
      <c r="A50" s="12"/>
      <c r="B50" s="13"/>
      <c r="C50" s="13"/>
      <c r="D50" s="15" t="s">
        <v>99</v>
      </c>
      <c r="E50" s="2"/>
      <c r="F50" s="2"/>
      <c r="G50" s="2"/>
      <c r="H50" s="2"/>
      <c r="I50" s="2"/>
      <c r="J50" s="13"/>
      <c r="K50" s="13"/>
      <c r="L50" s="15" t="s">
        <v>100</v>
      </c>
      <c r="M50" s="15"/>
      <c r="N50" s="4"/>
    </row>
    <row r="51" spans="1:14" s="1" customFormat="1" ht="19.5" customHeight="1" x14ac:dyDescent="0.35">
      <c r="A51" s="12"/>
      <c r="B51" s="13"/>
      <c r="C51" s="13"/>
      <c r="D51" s="15" t="s">
        <v>41</v>
      </c>
      <c r="E51" s="2"/>
      <c r="F51" s="2"/>
      <c r="G51" s="2"/>
      <c r="H51" s="2"/>
      <c r="I51" s="2"/>
      <c r="J51" s="13"/>
      <c r="K51" s="13"/>
      <c r="L51" s="15" t="s">
        <v>42</v>
      </c>
      <c r="M51" s="15"/>
      <c r="N51" s="4"/>
    </row>
    <row r="52" spans="1:14" s="1" customFormat="1" ht="19.5" customHeight="1" thickBot="1" x14ac:dyDescent="0.4">
      <c r="A52" s="120"/>
      <c r="B52" s="8"/>
      <c r="C52" s="8"/>
      <c r="D52" s="115"/>
      <c r="E52" s="115"/>
      <c r="F52" s="115"/>
      <c r="G52" s="115"/>
      <c r="H52" s="115"/>
      <c r="I52" s="115"/>
      <c r="J52" s="121"/>
      <c r="K52" s="121"/>
      <c r="L52" s="122"/>
      <c r="M52" s="122"/>
      <c r="N52" s="123"/>
    </row>
  </sheetData>
  <dataConsolidate/>
  <mergeCells count="28">
    <mergeCell ref="I27:J27"/>
    <mergeCell ref="A28:C28"/>
    <mergeCell ref="D28:E28"/>
    <mergeCell ref="F28:G28"/>
    <mergeCell ref="I28:J28"/>
    <mergeCell ref="A32:G32"/>
    <mergeCell ref="L25:M25"/>
    <mergeCell ref="D8:G8"/>
    <mergeCell ref="A25:C25"/>
    <mergeCell ref="I26:J26"/>
    <mergeCell ref="L10:M10"/>
    <mergeCell ref="L26:M26"/>
    <mergeCell ref="F26:G26"/>
    <mergeCell ref="L9:N9"/>
    <mergeCell ref="A26:C26"/>
    <mergeCell ref="D26:E26"/>
    <mergeCell ref="L27:M27"/>
    <mergeCell ref="L28:M28"/>
    <mergeCell ref="A27:C27"/>
    <mergeCell ref="D27:E27"/>
    <mergeCell ref="F27:G27"/>
    <mergeCell ref="A3:N3"/>
    <mergeCell ref="L8:M8"/>
    <mergeCell ref="D25:E25"/>
    <mergeCell ref="F25:G25"/>
    <mergeCell ref="I25:J25"/>
    <mergeCell ref="D10:F10"/>
    <mergeCell ref="D6:E6"/>
  </mergeCells>
  <printOptions horizontalCentered="1"/>
  <pageMargins left="0.51181102362204722" right="0.51181102362204722" top="1.3779527559055118" bottom="0.39370078740157483" header="0.19685039370078741" footer="3.937007874015748E-2"/>
  <pageSetup paperSize="9" scale="79" orientation="portrait" useFirstPageNumber="1" horizontalDpi="300" verticalDpi="300" r:id="rId1"/>
  <headerFooter alignWithMargins="0">
    <oddFooter xml:space="preserve">&amp;C&amp;"Times New Roman,Regular"&amp;11This report shall not be reproduced except in full, without the prior written approval of TIS Instruments Pte Ltd 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date">
                <anchor moveWithCells="1" sizeWithCells="1">
                  <from>
                    <xdr:col>15</xdr:col>
                    <xdr:colOff>95250</xdr:colOff>
                    <xdr:row>1</xdr:row>
                    <xdr:rowOff>57150</xdr:rowOff>
                  </from>
                  <to>
                    <xdr:col>15</xdr:col>
                    <xdr:colOff>1219200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eck_page">
                <anchor moveWithCells="1" sizeWithCells="1">
                  <from>
                    <xdr:col>15</xdr:col>
                    <xdr:colOff>107950</xdr:colOff>
                    <xdr:row>3</xdr:row>
                    <xdr:rowOff>273050</xdr:rowOff>
                  </from>
                  <to>
                    <xdr:col>15</xdr:col>
                    <xdr:colOff>1231900</xdr:colOff>
                    <xdr:row>5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7"/>
  <sheetViews>
    <sheetView zoomScale="85" zoomScaleNormal="85" zoomScaleSheetLayoutView="100" workbookViewId="0">
      <selection activeCell="A9" sqref="A9:G9"/>
    </sheetView>
  </sheetViews>
  <sheetFormatPr defaultColWidth="0" defaultRowHeight="12.5" x14ac:dyDescent="0.25"/>
  <cols>
    <col min="1" max="1" width="11" customWidth="1"/>
    <col min="2" max="2" width="9.7265625" customWidth="1"/>
    <col min="3" max="3" width="1.7265625" customWidth="1"/>
    <col min="4" max="4" width="9.7265625" customWidth="1"/>
    <col min="5" max="5" width="3" customWidth="1"/>
    <col min="6" max="6" width="12" customWidth="1"/>
    <col min="7" max="8" width="9.26953125" customWidth="1"/>
    <col min="9" max="9" width="2.54296875" customWidth="1"/>
    <col min="10" max="10" width="11.453125" bestFit="1" customWidth="1"/>
    <col min="11" max="12" width="9.26953125" customWidth="1"/>
    <col min="13" max="13" width="11.6328125" customWidth="1"/>
    <col min="14" max="16" width="8.7265625" customWidth="1"/>
    <col min="17" max="18" width="0" hidden="1" customWidth="1"/>
    <col min="19" max="16384" width="8.7265625" hidden="1"/>
  </cols>
  <sheetData>
    <row r="1" spans="1:18" ht="13" thickBot="1" x14ac:dyDescent="0.3"/>
    <row r="2" spans="1:18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1:18" ht="22.5" x14ac:dyDescent="0.45">
      <c r="A3" s="224" t="s">
        <v>0</v>
      </c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</row>
    <row r="4" spans="1:18" ht="23" thickBot="1" x14ac:dyDescent="0.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</row>
    <row r="5" spans="1:18" ht="19.5" customHeight="1" x14ac:dyDescent="0.35">
      <c r="A5" s="11"/>
      <c r="B5" s="113"/>
      <c r="C5" s="113"/>
      <c r="D5" s="2"/>
      <c r="E5" s="2"/>
      <c r="F5" s="2"/>
      <c r="G5" s="2"/>
      <c r="H5" s="2"/>
      <c r="I5" s="2"/>
      <c r="J5" s="2"/>
      <c r="K5" s="3"/>
      <c r="L5" s="2"/>
      <c r="M5" s="4"/>
    </row>
    <row r="6" spans="1:18" ht="19.5" customHeight="1" x14ac:dyDescent="0.35">
      <c r="A6" s="11" t="s">
        <v>1</v>
      </c>
      <c r="B6" s="113"/>
      <c r="C6" s="2" t="s">
        <v>2</v>
      </c>
      <c r="D6" s="2" t="str">
        <f>'Cover Page'!D6</f>
        <v>22-C12345</v>
      </c>
      <c r="E6" s="2"/>
      <c r="F6" s="2"/>
      <c r="G6" s="2"/>
      <c r="H6" s="2"/>
      <c r="I6" s="2"/>
      <c r="J6" s="3" t="s">
        <v>3</v>
      </c>
      <c r="K6" s="208" t="s">
        <v>98</v>
      </c>
      <c r="L6" s="2"/>
      <c r="M6" s="4"/>
    </row>
    <row r="7" spans="1:18" ht="10.5" customHeight="1" x14ac:dyDescent="0.35">
      <c r="A7" s="11"/>
      <c r="B7" s="113"/>
      <c r="C7" s="113"/>
      <c r="D7" s="2"/>
      <c r="E7" s="2"/>
      <c r="F7" s="2"/>
      <c r="G7" s="2"/>
      <c r="H7" s="2"/>
      <c r="I7" s="2"/>
      <c r="J7" s="2"/>
      <c r="K7" s="3"/>
      <c r="L7" s="2"/>
      <c r="M7" s="4"/>
    </row>
    <row r="8" spans="1:18" ht="19.5" customHeight="1" x14ac:dyDescent="0.35">
      <c r="A8" s="11"/>
      <c r="B8" s="113"/>
      <c r="C8" s="2"/>
      <c r="D8" s="2"/>
      <c r="E8" s="2"/>
      <c r="F8" s="2"/>
      <c r="G8" s="2"/>
      <c r="H8" s="2"/>
      <c r="I8" s="2"/>
      <c r="J8" s="2"/>
      <c r="K8" s="225"/>
      <c r="L8" s="225"/>
      <c r="M8" s="4"/>
    </row>
    <row r="9" spans="1:18" ht="19.5" customHeight="1" x14ac:dyDescent="0.35">
      <c r="A9" s="235" t="str">
        <f>CONCATENATE("Test Data ",  'Cover Page'!L14, " (Ascending &amp; Descending)")</f>
        <v>Test Data 30 psi (Ascending &amp; Descending)</v>
      </c>
      <c r="B9" s="228"/>
      <c r="C9" s="228"/>
      <c r="D9" s="228"/>
      <c r="E9" s="228"/>
      <c r="F9" s="228"/>
      <c r="G9" s="228"/>
      <c r="H9" s="2"/>
      <c r="I9" s="2"/>
      <c r="J9" s="2"/>
      <c r="K9" s="225"/>
      <c r="L9" s="225"/>
      <c r="M9" s="4"/>
    </row>
    <row r="10" spans="1:18" ht="19.5" customHeight="1" x14ac:dyDescent="0.35">
      <c r="A10" s="11"/>
      <c r="B10" s="18"/>
      <c r="C10" s="18"/>
      <c r="D10" s="18"/>
      <c r="E10" s="198"/>
      <c r="F10" s="18"/>
      <c r="G10" s="2"/>
      <c r="H10" s="2"/>
      <c r="I10" s="2"/>
      <c r="J10" s="2"/>
      <c r="K10" s="18"/>
      <c r="L10" s="18"/>
      <c r="M10" s="4"/>
    </row>
    <row r="11" spans="1:18" ht="19.5" customHeight="1" x14ac:dyDescent="0.35">
      <c r="A11" s="11"/>
      <c r="B11" s="113"/>
      <c r="C11" s="113"/>
      <c r="D11" s="2"/>
      <c r="E11" s="2"/>
      <c r="F11" s="2"/>
      <c r="G11" s="2"/>
      <c r="H11" s="2"/>
      <c r="I11" s="2"/>
      <c r="J11" s="2"/>
      <c r="K11" s="3"/>
      <c r="L11" s="2"/>
      <c r="M11" s="4"/>
    </row>
    <row r="12" spans="1:18" ht="22.5" customHeight="1" x14ac:dyDescent="0.35">
      <c r="A12" s="11"/>
      <c r="B12" s="236" t="s">
        <v>43</v>
      </c>
      <c r="C12" s="236"/>
      <c r="D12" s="237"/>
      <c r="E12" s="199"/>
      <c r="F12" s="238" t="s">
        <v>44</v>
      </c>
      <c r="G12" s="239"/>
      <c r="H12" s="239"/>
      <c r="I12" s="240"/>
      <c r="J12" s="239"/>
      <c r="K12" s="239"/>
      <c r="L12" s="239"/>
      <c r="M12" s="4"/>
    </row>
    <row r="13" spans="1:18" ht="22.5" customHeight="1" x14ac:dyDescent="0.35">
      <c r="A13" s="11"/>
      <c r="B13" s="236"/>
      <c r="C13" s="236"/>
      <c r="D13" s="237"/>
      <c r="E13" s="199"/>
      <c r="F13" s="238" t="s">
        <v>45</v>
      </c>
      <c r="G13" s="239"/>
      <c r="H13" s="241"/>
      <c r="I13" s="200"/>
      <c r="J13" s="238" t="s">
        <v>46</v>
      </c>
      <c r="K13" s="239"/>
      <c r="L13" s="239"/>
      <c r="M13" s="4"/>
    </row>
    <row r="14" spans="1:18" ht="22.5" customHeight="1" x14ac:dyDescent="0.35">
      <c r="A14" s="11"/>
      <c r="B14" s="236"/>
      <c r="C14" s="236"/>
      <c r="D14" s="237"/>
      <c r="E14" s="199"/>
      <c r="F14" s="238" t="s">
        <v>47</v>
      </c>
      <c r="G14" s="239"/>
      <c r="H14" s="241"/>
      <c r="I14" s="200"/>
      <c r="J14" s="238" t="s">
        <v>47</v>
      </c>
      <c r="K14" s="239"/>
      <c r="L14" s="239"/>
      <c r="M14" s="4"/>
      <c r="R14" t="s">
        <v>48</v>
      </c>
    </row>
    <row r="15" spans="1:18" ht="22.5" customHeight="1" x14ac:dyDescent="0.35">
      <c r="A15" s="11"/>
      <c r="B15" s="236"/>
      <c r="C15" s="236"/>
      <c r="D15" s="237"/>
      <c r="E15" s="199"/>
      <c r="F15" s="207" t="s">
        <v>49</v>
      </c>
      <c r="G15" s="239" t="s">
        <v>50</v>
      </c>
      <c r="H15" s="241"/>
      <c r="I15" s="200"/>
      <c r="J15" s="207" t="s">
        <v>51</v>
      </c>
      <c r="K15" s="239" t="s">
        <v>50</v>
      </c>
      <c r="L15" s="239"/>
      <c r="M15" s="4"/>
    </row>
    <row r="16" spans="1:18" ht="15.75" customHeight="1" x14ac:dyDescent="0.35">
      <c r="A16" s="11"/>
      <c r="B16" s="240" t="s">
        <v>52</v>
      </c>
      <c r="C16" s="240"/>
      <c r="D16" s="247"/>
      <c r="E16" s="200"/>
      <c r="F16" s="207" t="s">
        <v>52</v>
      </c>
      <c r="G16" s="239" t="s">
        <v>52</v>
      </c>
      <c r="H16" s="241"/>
      <c r="I16" s="200"/>
      <c r="J16" s="207" t="s">
        <v>52</v>
      </c>
      <c r="K16" s="239" t="s">
        <v>52</v>
      </c>
      <c r="L16" s="239"/>
      <c r="M16" s="4"/>
    </row>
    <row r="17" spans="1:13" ht="22.5" customHeight="1" x14ac:dyDescent="0.35">
      <c r="A17" s="11"/>
      <c r="B17" s="242">
        <f>'Calibration Data'!F10</f>
        <v>0</v>
      </c>
      <c r="C17" s="243"/>
      <c r="D17" s="243"/>
      <c r="E17" s="209" t="s">
        <v>95</v>
      </c>
      <c r="F17" s="202">
        <f>J17</f>
        <v>0</v>
      </c>
      <c r="G17" s="244">
        <f t="shared" ref="G17:G23" si="0">F17-B17</f>
        <v>0</v>
      </c>
      <c r="H17" s="245"/>
      <c r="I17" s="213" t="s">
        <v>95</v>
      </c>
      <c r="J17" s="202">
        <f>'Calibration Data'!I26</f>
        <v>0</v>
      </c>
      <c r="K17" s="244">
        <f t="shared" ref="K17:K23" si="1">J17-B17</f>
        <v>0</v>
      </c>
      <c r="L17" s="246"/>
      <c r="M17" s="4"/>
    </row>
    <row r="18" spans="1:13" ht="22.5" customHeight="1" x14ac:dyDescent="0.35">
      <c r="A18" s="11"/>
      <c r="B18" s="253">
        <f>'Calibration Data'!F11</f>
        <v>5</v>
      </c>
      <c r="C18" s="254"/>
      <c r="D18" s="255"/>
      <c r="E18" s="216" t="s">
        <v>96</v>
      </c>
      <c r="F18" s="203">
        <f t="shared" ref="F18:F22" si="2">J18</f>
        <v>5.0670000000000002</v>
      </c>
      <c r="G18" s="251">
        <f t="shared" si="0"/>
        <v>6.7000000000000171E-2</v>
      </c>
      <c r="H18" s="256"/>
      <c r="I18" s="222" t="s">
        <v>96</v>
      </c>
      <c r="J18" s="203">
        <f>'Calibration Data'!I27</f>
        <v>5.0670000000000002</v>
      </c>
      <c r="K18" s="251">
        <f t="shared" si="1"/>
        <v>6.7000000000000171E-2</v>
      </c>
      <c r="L18" s="252"/>
      <c r="M18" s="4"/>
    </row>
    <row r="19" spans="1:13" ht="19.5" customHeight="1" x14ac:dyDescent="0.35">
      <c r="A19" s="11"/>
      <c r="B19" s="253">
        <f>'Calibration Data'!F12</f>
        <v>10</v>
      </c>
      <c r="C19" s="254"/>
      <c r="D19" s="255"/>
      <c r="E19" s="210" t="s">
        <v>95</v>
      </c>
      <c r="F19" s="203">
        <f t="shared" si="2"/>
        <v>10.000999999999999</v>
      </c>
      <c r="G19" s="251">
        <f t="shared" si="0"/>
        <v>9.9999999999944578E-4</v>
      </c>
      <c r="H19" s="256"/>
      <c r="I19" s="214" t="s">
        <v>95</v>
      </c>
      <c r="J19" s="203">
        <f>'Calibration Data'!I28</f>
        <v>10.000999999999999</v>
      </c>
      <c r="K19" s="251">
        <f t="shared" si="1"/>
        <v>9.9999999999944578E-4</v>
      </c>
      <c r="L19" s="252"/>
      <c r="M19" s="4"/>
    </row>
    <row r="20" spans="1:13" ht="19.5" customHeight="1" x14ac:dyDescent="0.35">
      <c r="A20" s="11"/>
      <c r="B20" s="253">
        <f>'Calibration Data'!F13</f>
        <v>15</v>
      </c>
      <c r="C20" s="254"/>
      <c r="D20" s="255"/>
      <c r="E20" s="210" t="s">
        <v>95</v>
      </c>
      <c r="F20" s="203">
        <f t="shared" si="2"/>
        <v>15.001333333333333</v>
      </c>
      <c r="G20" s="251">
        <f t="shared" si="0"/>
        <v>1.3333333333331865E-3</v>
      </c>
      <c r="H20" s="256"/>
      <c r="I20" s="214" t="s">
        <v>95</v>
      </c>
      <c r="J20" s="203">
        <f>'Calibration Data'!I29</f>
        <v>15.001333333333333</v>
      </c>
      <c r="K20" s="251">
        <f t="shared" si="1"/>
        <v>1.3333333333331865E-3</v>
      </c>
      <c r="L20" s="252"/>
      <c r="M20" s="4"/>
    </row>
    <row r="21" spans="1:13" ht="19.5" customHeight="1" x14ac:dyDescent="0.35">
      <c r="A21" s="11"/>
      <c r="B21" s="253">
        <f>'Calibration Data'!F14</f>
        <v>20</v>
      </c>
      <c r="C21" s="254"/>
      <c r="D21" s="255"/>
      <c r="E21" s="210" t="s">
        <v>95</v>
      </c>
      <c r="F21" s="203">
        <f t="shared" si="2"/>
        <v>20.001333333333335</v>
      </c>
      <c r="G21" s="251">
        <f t="shared" si="0"/>
        <v>1.3333333333349628E-3</v>
      </c>
      <c r="H21" s="256"/>
      <c r="I21" s="214" t="s">
        <v>95</v>
      </c>
      <c r="J21" s="203">
        <f>'Calibration Data'!I30</f>
        <v>20.001333333333335</v>
      </c>
      <c r="K21" s="251">
        <f t="shared" si="1"/>
        <v>1.3333333333349628E-3</v>
      </c>
      <c r="L21" s="252"/>
      <c r="M21" s="4"/>
    </row>
    <row r="22" spans="1:13" ht="19.5" customHeight="1" x14ac:dyDescent="0.35">
      <c r="A22" s="11"/>
      <c r="B22" s="253">
        <f>'Calibration Data'!F15</f>
        <v>25</v>
      </c>
      <c r="C22" s="254"/>
      <c r="D22" s="255"/>
      <c r="E22" s="210" t="s">
        <v>95</v>
      </c>
      <c r="F22" s="203">
        <f t="shared" si="2"/>
        <v>25.002333333333329</v>
      </c>
      <c r="G22" s="251">
        <f t="shared" si="0"/>
        <v>2.3333333333290796E-3</v>
      </c>
      <c r="H22" s="256"/>
      <c r="I22" s="214" t="s">
        <v>95</v>
      </c>
      <c r="J22" s="203">
        <f>'Calibration Data'!I31</f>
        <v>25.002333333333329</v>
      </c>
      <c r="K22" s="251">
        <f t="shared" si="1"/>
        <v>2.3333333333290796E-3</v>
      </c>
      <c r="L22" s="252"/>
      <c r="M22" s="4"/>
    </row>
    <row r="23" spans="1:13" s="1" customFormat="1" ht="19.5" customHeight="1" x14ac:dyDescent="0.35">
      <c r="A23" s="16"/>
      <c r="B23" s="262">
        <f>'Calibration Data'!F16</f>
        <v>30</v>
      </c>
      <c r="C23" s="263"/>
      <c r="D23" s="263"/>
      <c r="E23" s="216" t="s">
        <v>95</v>
      </c>
      <c r="F23" s="203">
        <f>J23</f>
        <v>30</v>
      </c>
      <c r="G23" s="264">
        <f t="shared" si="0"/>
        <v>0</v>
      </c>
      <c r="H23" s="265"/>
      <c r="I23" s="218" t="s">
        <v>95</v>
      </c>
      <c r="J23" s="203">
        <f>'Calibration Data'!I32</f>
        <v>30</v>
      </c>
      <c r="K23" s="264">
        <f t="shared" si="1"/>
        <v>0</v>
      </c>
      <c r="L23" s="265"/>
      <c r="M23" s="10"/>
    </row>
    <row r="24" spans="1:13" s="1" customFormat="1" ht="19.5" customHeight="1" x14ac:dyDescent="0.35">
      <c r="A24" s="16"/>
      <c r="B24" s="257" t="s">
        <v>52</v>
      </c>
      <c r="C24" s="257"/>
      <c r="D24" s="258"/>
      <c r="E24" s="201" t="s">
        <v>95</v>
      </c>
      <c r="F24" s="259" t="s">
        <v>53</v>
      </c>
      <c r="G24" s="260"/>
      <c r="H24" s="261"/>
      <c r="I24" s="201" t="s">
        <v>95</v>
      </c>
      <c r="J24" s="259" t="s">
        <v>53</v>
      </c>
      <c r="K24" s="260"/>
      <c r="L24" s="275"/>
      <c r="M24" s="10"/>
    </row>
    <row r="25" spans="1:13" s="1" customFormat="1" ht="19.5" customHeight="1" x14ac:dyDescent="0.45">
      <c r="A25" s="19"/>
      <c r="B25" s="248">
        <f>'Calibration Data'!F16</f>
        <v>30</v>
      </c>
      <c r="C25" s="249"/>
      <c r="D25" s="250"/>
      <c r="E25" s="217" t="s">
        <v>95</v>
      </c>
      <c r="F25" s="204">
        <f>J25</f>
        <v>30</v>
      </c>
      <c r="G25" s="244">
        <f t="shared" ref="G25:G31" si="3">F25-B25</f>
        <v>0</v>
      </c>
      <c r="H25" s="246"/>
      <c r="I25" s="219" t="s">
        <v>95</v>
      </c>
      <c r="J25" s="204">
        <f>'Calibration Data'!I32</f>
        <v>30</v>
      </c>
      <c r="K25" s="244">
        <f t="shared" ref="K25:K31" si="4">J25-B25</f>
        <v>0</v>
      </c>
      <c r="L25" s="246"/>
      <c r="M25" s="4"/>
    </row>
    <row r="26" spans="1:13" s="1" customFormat="1" ht="19.5" customHeight="1" x14ac:dyDescent="0.35">
      <c r="A26" s="19"/>
      <c r="B26" s="248">
        <f>'Calibration Data'!F17</f>
        <v>25</v>
      </c>
      <c r="C26" s="249"/>
      <c r="D26" s="250"/>
      <c r="E26" s="211" t="s">
        <v>95</v>
      </c>
      <c r="F26" s="204">
        <f t="shared" ref="F26:F31" si="5">J26</f>
        <v>25.004000000000001</v>
      </c>
      <c r="G26" s="251">
        <f t="shared" si="3"/>
        <v>4.0000000000013358E-3</v>
      </c>
      <c r="H26" s="256"/>
      <c r="I26" s="214" t="s">
        <v>95</v>
      </c>
      <c r="J26" s="204">
        <f>'Calibration Data'!I33</f>
        <v>25.004000000000001</v>
      </c>
      <c r="K26" s="268">
        <f t="shared" si="4"/>
        <v>4.0000000000013358E-3</v>
      </c>
      <c r="L26" s="269"/>
      <c r="M26" s="4"/>
    </row>
    <row r="27" spans="1:13" s="1" customFormat="1" ht="19.5" customHeight="1" x14ac:dyDescent="0.35">
      <c r="A27" s="19"/>
      <c r="B27" s="248">
        <f>'Calibration Data'!F18</f>
        <v>20</v>
      </c>
      <c r="C27" s="249"/>
      <c r="D27" s="250"/>
      <c r="E27" s="211" t="s">
        <v>95</v>
      </c>
      <c r="F27" s="204">
        <f t="shared" si="5"/>
        <v>20.003999999999998</v>
      </c>
      <c r="G27" s="251">
        <f t="shared" si="3"/>
        <v>3.9999999999977831E-3</v>
      </c>
      <c r="H27" s="256"/>
      <c r="I27" s="214" t="s">
        <v>95</v>
      </c>
      <c r="J27" s="205">
        <f>'Calibration Data'!I34</f>
        <v>20.003999999999998</v>
      </c>
      <c r="K27" s="268">
        <f t="shared" si="4"/>
        <v>3.9999999999977831E-3</v>
      </c>
      <c r="L27" s="269"/>
      <c r="M27" s="4"/>
    </row>
    <row r="28" spans="1:13" s="1" customFormat="1" ht="19.5" customHeight="1" x14ac:dyDescent="0.35">
      <c r="A28" s="17"/>
      <c r="B28" s="248">
        <f>'Calibration Data'!F19</f>
        <v>15</v>
      </c>
      <c r="C28" s="249"/>
      <c r="D28" s="250"/>
      <c r="E28" s="211" t="s">
        <v>95</v>
      </c>
      <c r="F28" s="204">
        <f t="shared" si="5"/>
        <v>15.004</v>
      </c>
      <c r="G28" s="266">
        <f t="shared" si="3"/>
        <v>3.9999999999995595E-3</v>
      </c>
      <c r="H28" s="267"/>
      <c r="I28" s="214" t="s">
        <v>95</v>
      </c>
      <c r="J28" s="205">
        <f>'Calibration Data'!I35</f>
        <v>15.004</v>
      </c>
      <c r="K28" s="268">
        <f t="shared" si="4"/>
        <v>3.9999999999995595E-3</v>
      </c>
      <c r="L28" s="269"/>
      <c r="M28" s="10"/>
    </row>
    <row r="29" spans="1:13" s="1" customFormat="1" ht="19.5" customHeight="1" x14ac:dyDescent="0.35">
      <c r="A29" s="17"/>
      <c r="B29" s="248">
        <f>'Calibration Data'!F20</f>
        <v>10</v>
      </c>
      <c r="C29" s="249"/>
      <c r="D29" s="250"/>
      <c r="E29" s="211" t="s">
        <v>95</v>
      </c>
      <c r="F29" s="204">
        <f t="shared" si="5"/>
        <v>10.003</v>
      </c>
      <c r="G29" s="266">
        <f t="shared" si="3"/>
        <v>3.0000000000001137E-3</v>
      </c>
      <c r="H29" s="267"/>
      <c r="I29" s="214" t="s">
        <v>95</v>
      </c>
      <c r="J29" s="205">
        <f>'Calibration Data'!I36</f>
        <v>10.003</v>
      </c>
      <c r="K29" s="268">
        <f t="shared" si="4"/>
        <v>3.0000000000001137E-3</v>
      </c>
      <c r="L29" s="269"/>
      <c r="M29" s="10"/>
    </row>
    <row r="30" spans="1:13" s="1" customFormat="1" ht="19.5" customHeight="1" x14ac:dyDescent="0.45">
      <c r="A30" s="17"/>
      <c r="B30" s="248">
        <f>'Calibration Data'!F21</f>
        <v>5</v>
      </c>
      <c r="C30" s="249"/>
      <c r="D30" s="250"/>
      <c r="E30" s="223" t="s">
        <v>96</v>
      </c>
      <c r="F30" s="204">
        <f t="shared" si="5"/>
        <v>5.0670000000000002</v>
      </c>
      <c r="G30" s="266">
        <f t="shared" si="3"/>
        <v>6.7000000000000171E-2</v>
      </c>
      <c r="H30" s="267"/>
      <c r="I30" s="222" t="s">
        <v>96</v>
      </c>
      <c r="J30" s="204">
        <f>'Calibration Data'!I37</f>
        <v>5.0670000000000002</v>
      </c>
      <c r="K30" s="268">
        <f t="shared" si="4"/>
        <v>6.7000000000000171E-2</v>
      </c>
      <c r="L30" s="269"/>
      <c r="M30" s="10"/>
    </row>
    <row r="31" spans="1:13" s="1" customFormat="1" ht="19.5" customHeight="1" x14ac:dyDescent="0.35">
      <c r="A31" s="17"/>
      <c r="B31" s="270">
        <f>'Calibration Data'!F22</f>
        <v>0</v>
      </c>
      <c r="C31" s="271"/>
      <c r="D31" s="271"/>
      <c r="E31" s="212" t="s">
        <v>95</v>
      </c>
      <c r="F31" s="206">
        <f t="shared" si="5"/>
        <v>1E-3</v>
      </c>
      <c r="G31" s="272">
        <f t="shared" si="3"/>
        <v>1E-3</v>
      </c>
      <c r="H31" s="273"/>
      <c r="I31" s="215" t="s">
        <v>95</v>
      </c>
      <c r="J31" s="206">
        <f>'Calibration Data'!I38</f>
        <v>1E-3</v>
      </c>
      <c r="K31" s="272">
        <f t="shared" si="4"/>
        <v>1E-3</v>
      </c>
      <c r="L31" s="274"/>
      <c r="M31" s="10"/>
    </row>
    <row r="32" spans="1:13" s="1" customFormat="1" ht="19.5" customHeight="1" x14ac:dyDescent="0.35">
      <c r="A32" s="16"/>
      <c r="B32" s="5"/>
      <c r="C32" s="5"/>
      <c r="D32" s="2"/>
      <c r="E32" s="2"/>
      <c r="F32" s="196"/>
      <c r="G32" s="196"/>
      <c r="H32" s="196"/>
      <c r="I32" s="197"/>
      <c r="J32" s="196"/>
      <c r="K32" s="196"/>
      <c r="L32" s="196"/>
      <c r="M32" s="10"/>
    </row>
    <row r="33" spans="1:13" s="1" customFormat="1" ht="19.5" customHeight="1" x14ac:dyDescent="0.35">
      <c r="A33" s="19"/>
      <c r="B33" s="5"/>
      <c r="C33" s="5"/>
      <c r="D33" s="2"/>
      <c r="E33" s="2"/>
      <c r="F33" s="2"/>
      <c r="G33" s="2"/>
      <c r="H33" s="2"/>
      <c r="I33" s="2"/>
      <c r="J33" s="2"/>
      <c r="K33" s="2"/>
      <c r="L33" s="9"/>
      <c r="M33" s="10"/>
    </row>
    <row r="34" spans="1:13" s="1" customFormat="1" ht="19.5" customHeight="1" x14ac:dyDescent="0.35">
      <c r="A34" s="16"/>
      <c r="B34" s="5"/>
      <c r="C34" s="5"/>
      <c r="D34" s="2"/>
      <c r="E34" s="2"/>
      <c r="F34" s="2"/>
      <c r="G34" s="2"/>
      <c r="H34" s="2"/>
      <c r="I34" s="2"/>
      <c r="J34" s="2"/>
      <c r="K34" s="2"/>
      <c r="L34" s="9"/>
      <c r="M34" s="10"/>
    </row>
    <row r="35" spans="1:13" s="1" customFormat="1" ht="19.5" customHeight="1" x14ac:dyDescent="0.35">
      <c r="A35" s="16"/>
      <c r="B35" s="5"/>
      <c r="C35" s="5"/>
      <c r="D35" s="2"/>
      <c r="E35" s="2"/>
      <c r="F35" s="2"/>
      <c r="G35" s="2"/>
      <c r="H35" s="2"/>
      <c r="I35" s="2"/>
      <c r="J35" s="2"/>
      <c r="K35" s="2"/>
      <c r="L35" s="9"/>
      <c r="M35" s="10"/>
    </row>
    <row r="36" spans="1:13" s="1" customFormat="1" ht="19.5" customHeight="1" x14ac:dyDescent="0.35">
      <c r="A36" s="17"/>
      <c r="B36" s="5"/>
      <c r="C36" s="5"/>
      <c r="D36" s="2"/>
      <c r="E36" s="2"/>
      <c r="F36" s="2"/>
      <c r="G36" s="2"/>
      <c r="H36" s="2"/>
      <c r="I36" s="2"/>
      <c r="J36" s="2"/>
      <c r="K36" s="2"/>
      <c r="L36" s="9"/>
      <c r="M36" s="10"/>
    </row>
    <row r="37" spans="1:13" s="1" customFormat="1" ht="19.5" customHeight="1" x14ac:dyDescent="0.35">
      <c r="A37" s="16"/>
      <c r="B37" s="5"/>
      <c r="C37" s="5"/>
      <c r="D37" s="2"/>
      <c r="E37" s="2"/>
      <c r="F37" s="2"/>
      <c r="G37" s="2"/>
      <c r="H37" s="2"/>
      <c r="I37" s="2"/>
      <c r="J37" s="2"/>
      <c r="K37" s="2"/>
      <c r="L37" s="9"/>
      <c r="M37" s="10"/>
    </row>
    <row r="38" spans="1:13" s="1" customFormat="1" ht="19.5" customHeight="1" x14ac:dyDescent="0.35">
      <c r="A38" s="16"/>
      <c r="B38" s="5"/>
      <c r="C38" s="5"/>
      <c r="D38" s="2"/>
      <c r="E38" s="2"/>
      <c r="F38" s="2"/>
      <c r="G38" s="2"/>
      <c r="H38" s="2"/>
      <c r="I38" s="2"/>
      <c r="J38" s="2"/>
      <c r="K38" s="2"/>
      <c r="L38" s="9"/>
      <c r="M38" s="10"/>
    </row>
    <row r="39" spans="1:13" s="1" customFormat="1" ht="19.5" customHeight="1" x14ac:dyDescent="0.35">
      <c r="A39" s="16"/>
      <c r="B39" s="5"/>
      <c r="C39" s="5"/>
      <c r="D39" s="2"/>
      <c r="E39" s="2"/>
      <c r="F39" s="2"/>
      <c r="G39" s="2"/>
      <c r="H39" s="2"/>
      <c r="I39" s="2"/>
      <c r="J39" s="2"/>
      <c r="K39" s="2"/>
      <c r="L39" s="9"/>
      <c r="M39" s="10"/>
    </row>
    <row r="40" spans="1:13" s="1" customFormat="1" ht="19.5" customHeight="1" x14ac:dyDescent="0.35">
      <c r="A40" s="16"/>
      <c r="B40" s="5"/>
      <c r="C40" s="5"/>
      <c r="D40" s="2"/>
      <c r="E40" s="2"/>
      <c r="F40" s="2"/>
      <c r="G40" s="2"/>
      <c r="H40" s="2"/>
      <c r="I40" s="2"/>
      <c r="J40" s="2"/>
      <c r="K40" s="2"/>
      <c r="L40" s="9"/>
      <c r="M40" s="10"/>
    </row>
    <row r="41" spans="1:13" s="1" customFormat="1" ht="19.5" customHeight="1" x14ac:dyDescent="0.35">
      <c r="A41" s="16"/>
      <c r="B41" s="5"/>
      <c r="C41" s="5"/>
      <c r="D41" s="2"/>
      <c r="E41" s="2"/>
      <c r="F41" s="2"/>
      <c r="G41" s="2"/>
      <c r="H41" s="2"/>
      <c r="I41" s="2"/>
      <c r="J41" s="2"/>
      <c r="K41" s="2"/>
      <c r="L41" s="9"/>
      <c r="M41" s="10"/>
    </row>
    <row r="42" spans="1:13" s="1" customFormat="1" ht="19.5" customHeight="1" x14ac:dyDescent="0.35">
      <c r="A42" s="16"/>
      <c r="B42" s="5"/>
      <c r="C42" s="5"/>
      <c r="D42" s="2"/>
      <c r="E42" s="2"/>
      <c r="F42" s="2"/>
      <c r="G42" s="2"/>
      <c r="H42" s="2"/>
      <c r="I42" s="2"/>
      <c r="J42" s="2"/>
      <c r="K42" s="2"/>
      <c r="L42" s="9"/>
      <c r="M42" s="10"/>
    </row>
    <row r="43" spans="1:13" s="1" customFormat="1" ht="19.5" customHeight="1" x14ac:dyDescent="0.35">
      <c r="A43" s="16"/>
      <c r="B43" s="5"/>
      <c r="C43" s="5"/>
      <c r="D43" s="2"/>
      <c r="E43" s="2"/>
      <c r="F43" s="2"/>
      <c r="G43" s="2"/>
      <c r="H43" s="2"/>
      <c r="I43" s="2"/>
      <c r="J43" s="13"/>
      <c r="K43" s="14"/>
      <c r="L43" s="2"/>
      <c r="M43" s="10"/>
    </row>
    <row r="44" spans="1:13" s="1" customFormat="1" ht="19.5" customHeight="1" x14ac:dyDescent="0.35">
      <c r="A44" s="1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4"/>
    </row>
    <row r="45" spans="1:13" s="1" customFormat="1" ht="19.5" customHeight="1" x14ac:dyDescent="0.35">
      <c r="A45" s="12"/>
      <c r="B45" s="13"/>
      <c r="C45" s="13"/>
      <c r="D45" s="15"/>
      <c r="E45" s="15"/>
      <c r="F45" s="2"/>
      <c r="G45" s="2"/>
      <c r="H45" s="2"/>
      <c r="I45" s="2"/>
      <c r="J45" s="13"/>
      <c r="K45" s="14"/>
      <c r="L45" s="15"/>
      <c r="M45" s="4"/>
    </row>
    <row r="46" spans="1:13" s="1" customFormat="1" ht="19.5" customHeight="1" x14ac:dyDescent="0.35">
      <c r="A46" s="12"/>
      <c r="B46" s="13"/>
      <c r="C46" s="13"/>
      <c r="D46" s="15"/>
      <c r="E46" s="15"/>
      <c r="F46" s="2"/>
      <c r="G46" s="2"/>
      <c r="H46" s="2"/>
      <c r="I46" s="2"/>
      <c r="J46" s="13"/>
      <c r="K46" s="14"/>
      <c r="L46" s="15"/>
      <c r="M46" s="4"/>
    </row>
    <row r="47" spans="1:13" s="1" customFormat="1" ht="19.5" customHeight="1" thickBot="1" x14ac:dyDescent="0.4">
      <c r="A47" s="120"/>
      <c r="B47" s="8"/>
      <c r="C47" s="8"/>
      <c r="D47" s="115"/>
      <c r="E47" s="115"/>
      <c r="F47" s="115"/>
      <c r="G47" s="115"/>
      <c r="H47" s="115"/>
      <c r="I47" s="115"/>
      <c r="J47" s="121"/>
      <c r="K47" s="122"/>
      <c r="L47" s="122"/>
      <c r="M47" s="123"/>
    </row>
  </sheetData>
  <mergeCells count="60">
    <mergeCell ref="B18:D18"/>
    <mergeCell ref="G18:H18"/>
    <mergeCell ref="K18:L18"/>
    <mergeCell ref="K30:L30"/>
    <mergeCell ref="K26:L26"/>
    <mergeCell ref="B26:D26"/>
    <mergeCell ref="G26:H26"/>
    <mergeCell ref="K28:L28"/>
    <mergeCell ref="G23:H23"/>
    <mergeCell ref="B22:D22"/>
    <mergeCell ref="J24:L24"/>
    <mergeCell ref="G25:H25"/>
    <mergeCell ref="K25:L25"/>
    <mergeCell ref="B29:D29"/>
    <mergeCell ref="G29:H29"/>
    <mergeCell ref="K29:L29"/>
    <mergeCell ref="B31:D31"/>
    <mergeCell ref="G31:H31"/>
    <mergeCell ref="K31:L31"/>
    <mergeCell ref="B30:D30"/>
    <mergeCell ref="G30:H30"/>
    <mergeCell ref="B28:D28"/>
    <mergeCell ref="G28:H28"/>
    <mergeCell ref="B27:D27"/>
    <mergeCell ref="G27:H27"/>
    <mergeCell ref="K27:L27"/>
    <mergeCell ref="B25:D25"/>
    <mergeCell ref="K20:L20"/>
    <mergeCell ref="B19:D19"/>
    <mergeCell ref="G19:H19"/>
    <mergeCell ref="K19:L19"/>
    <mergeCell ref="B24:D24"/>
    <mergeCell ref="F24:H24"/>
    <mergeCell ref="B23:D23"/>
    <mergeCell ref="B20:D20"/>
    <mergeCell ref="G20:H20"/>
    <mergeCell ref="K23:L23"/>
    <mergeCell ref="B21:D21"/>
    <mergeCell ref="G21:H21"/>
    <mergeCell ref="K21:L21"/>
    <mergeCell ref="K22:L22"/>
    <mergeCell ref="G22:H22"/>
    <mergeCell ref="B17:D17"/>
    <mergeCell ref="G17:H17"/>
    <mergeCell ref="K17:L17"/>
    <mergeCell ref="B16:D16"/>
    <mergeCell ref="G16:H16"/>
    <mergeCell ref="K16:L16"/>
    <mergeCell ref="A3:M3"/>
    <mergeCell ref="K8:L8"/>
    <mergeCell ref="A9:G9"/>
    <mergeCell ref="K9:L9"/>
    <mergeCell ref="B12:D15"/>
    <mergeCell ref="F12:L12"/>
    <mergeCell ref="F13:H13"/>
    <mergeCell ref="J13:L13"/>
    <mergeCell ref="F14:H14"/>
    <mergeCell ref="J14:L14"/>
    <mergeCell ref="G15:H15"/>
    <mergeCell ref="K15:L15"/>
  </mergeCells>
  <printOptions horizontalCentered="1"/>
  <pageMargins left="0.51181102362204722" right="0.51181102362204722" top="1.3779527559055118" bottom="0.39370078740157483" header="0.19685039370078741" footer="3.937007874015748E-2"/>
  <pageSetup paperSize="9" scale="80" firstPageNumber="2" orientation="portrait" useFirstPageNumber="1" horizontalDpi="300" verticalDpi="300" r:id="rId1"/>
  <headerFooter alignWithMargins="0">
    <oddFooter xml:space="preserve">&amp;C&amp;"Times New Roman,Regular"&amp;11This report shall not be reproduced except in full, without the prior written approval of TIS Instruments Pte Ltd 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eck_error">
                <anchor moveWithCells="1" sizeWithCells="1">
                  <from>
                    <xdr:col>13</xdr:col>
                    <xdr:colOff>361950</xdr:colOff>
                    <xdr:row>4</xdr:row>
                    <xdr:rowOff>44450</xdr:rowOff>
                  </from>
                  <to>
                    <xdr:col>15</xdr:col>
                    <xdr:colOff>266700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59"/>
  <sheetViews>
    <sheetView zoomScale="85" zoomScaleNormal="85" zoomScaleSheetLayoutView="100" workbookViewId="0">
      <selection activeCell="C6" sqref="C6"/>
    </sheetView>
  </sheetViews>
  <sheetFormatPr defaultColWidth="0" defaultRowHeight="12.5" x14ac:dyDescent="0.25"/>
  <cols>
    <col min="1" max="1" width="9.26953125" customWidth="1"/>
    <col min="2" max="2" width="5.81640625" customWidth="1"/>
    <col min="3" max="3" width="10.1796875" customWidth="1"/>
    <col min="4" max="13" width="10.453125" customWidth="1"/>
    <col min="14" max="14" width="7.81640625" customWidth="1"/>
    <col min="15" max="15" width="10.54296875" bestFit="1" customWidth="1"/>
    <col min="16" max="16" width="9.81640625" customWidth="1"/>
    <col min="17" max="17" width="8.7265625" customWidth="1"/>
    <col min="18" max="18" width="10.7265625" bestFit="1" customWidth="1"/>
    <col min="19" max="19" width="3" customWidth="1"/>
    <col min="20" max="20" width="8.7265625" customWidth="1"/>
    <col min="21" max="21" width="8.7265625" hidden="1" customWidth="1"/>
    <col min="22" max="22" width="11.1796875" hidden="1" customWidth="1"/>
    <col min="23" max="23" width="10.26953125" hidden="1" customWidth="1"/>
    <col min="24" max="24" width="8.7265625" hidden="1" customWidth="1"/>
    <col min="25" max="25" width="11.81640625" hidden="1" customWidth="1"/>
    <col min="26" max="27" width="10.7265625" hidden="1" customWidth="1"/>
    <col min="28" max="28" width="15.453125" hidden="1" customWidth="1"/>
    <col min="29" max="30" width="13.1796875" hidden="1" customWidth="1"/>
    <col min="31" max="31" width="15.453125" hidden="1" customWidth="1"/>
    <col min="32" max="32" width="10.7265625" hidden="1" customWidth="1"/>
    <col min="33" max="33" width="10" hidden="1" customWidth="1"/>
    <col min="34" max="34" width="8.7265625" hidden="1" customWidth="1"/>
    <col min="35" max="35" width="20.7265625" hidden="1" customWidth="1"/>
    <col min="36" max="36" width="11.26953125" hidden="1" customWidth="1"/>
    <col min="37" max="16384" width="8.7265625" hidden="1"/>
  </cols>
  <sheetData>
    <row r="1" spans="1:17" ht="9" customHeight="1" x14ac:dyDescent="0.55000000000000004">
      <c r="B1" s="2"/>
      <c r="D1" s="42"/>
      <c r="E1" s="42"/>
      <c r="F1" s="42"/>
      <c r="G1" s="42"/>
      <c r="H1" s="42"/>
      <c r="I1" s="42"/>
      <c r="J1" s="42"/>
      <c r="K1" s="42"/>
      <c r="L1" s="42"/>
    </row>
    <row r="2" spans="1:17" ht="30" x14ac:dyDescent="0.6">
      <c r="B2" s="2"/>
      <c r="C2" s="43"/>
      <c r="D2" s="44"/>
      <c r="E2" s="45" t="s">
        <v>104</v>
      </c>
      <c r="F2" s="42"/>
      <c r="G2" s="42"/>
      <c r="H2" s="42"/>
      <c r="I2" s="42"/>
      <c r="J2" s="42"/>
      <c r="K2" s="42"/>
      <c r="L2" s="42"/>
    </row>
    <row r="3" spans="1:17" ht="25.5" x14ac:dyDescent="0.55000000000000004">
      <c r="B3" s="2"/>
      <c r="D3" s="42"/>
      <c r="E3" s="42"/>
      <c r="F3" s="42"/>
      <c r="G3" s="42"/>
      <c r="H3" s="42"/>
      <c r="I3" s="42"/>
      <c r="J3" s="42"/>
      <c r="K3" s="42"/>
      <c r="L3" s="42"/>
    </row>
    <row r="4" spans="1:17" ht="20.5" thickBot="1" x14ac:dyDescent="0.45">
      <c r="A4" s="46"/>
      <c r="B4" s="277" t="s">
        <v>54</v>
      </c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8"/>
      <c r="P4" s="278"/>
    </row>
    <row r="5" spans="1:17" ht="22.5" customHeight="1" x14ac:dyDescent="0.35">
      <c r="A5" s="47"/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  <c r="O5" s="49"/>
      <c r="P5" s="51"/>
    </row>
    <row r="6" spans="1:17" ht="15.5" x14ac:dyDescent="0.35">
      <c r="A6" s="52"/>
      <c r="B6" s="5"/>
      <c r="C6" s="41"/>
      <c r="D6" s="2"/>
      <c r="E6" s="2"/>
      <c r="F6" s="2"/>
      <c r="H6" s="2"/>
      <c r="L6" s="3"/>
      <c r="M6" s="279"/>
      <c r="N6" s="279"/>
      <c r="O6" s="279"/>
      <c r="P6" s="4"/>
    </row>
    <row r="7" spans="1:17" ht="15.5" x14ac:dyDescent="0.35">
      <c r="A7" s="52"/>
      <c r="B7" s="18"/>
      <c r="C7" s="3"/>
      <c r="D7" s="2"/>
      <c r="E7" s="2"/>
      <c r="F7" s="2"/>
      <c r="H7" s="2"/>
      <c r="L7" s="3"/>
      <c r="M7" s="92"/>
      <c r="N7" s="92"/>
      <c r="P7" s="4"/>
    </row>
    <row r="8" spans="1:17" ht="16" thickBot="1" x14ac:dyDescent="0.4">
      <c r="A8" s="52"/>
      <c r="B8" s="18"/>
      <c r="C8" s="3"/>
      <c r="D8" s="18"/>
      <c r="E8" s="2"/>
      <c r="F8" s="41"/>
      <c r="G8" s="27"/>
      <c r="H8" s="26" t="s">
        <v>55</v>
      </c>
      <c r="I8" s="27"/>
      <c r="J8" s="27"/>
      <c r="L8" s="3"/>
      <c r="M8" s="93"/>
      <c r="N8" s="93"/>
      <c r="P8" s="4"/>
    </row>
    <row r="9" spans="1:17" ht="31.5" thickBot="1" x14ac:dyDescent="0.4">
      <c r="A9" s="52"/>
      <c r="B9" s="18"/>
      <c r="C9" s="3"/>
      <c r="D9" s="18"/>
      <c r="E9" s="2"/>
      <c r="F9" s="33" t="s">
        <v>56</v>
      </c>
      <c r="G9" s="31"/>
      <c r="H9" s="30" t="s">
        <v>57</v>
      </c>
      <c r="I9" s="31" t="s">
        <v>50</v>
      </c>
      <c r="J9" s="32" t="s">
        <v>58</v>
      </c>
      <c r="L9" s="3"/>
      <c r="M9" s="93"/>
      <c r="N9" s="93"/>
      <c r="P9" s="4"/>
    </row>
    <row r="10" spans="1:17" ht="27" customHeight="1" x14ac:dyDescent="0.35">
      <c r="A10" s="52"/>
      <c r="B10" s="18"/>
      <c r="C10" s="3"/>
      <c r="D10" s="18"/>
      <c r="E10" s="2"/>
      <c r="F10" s="159">
        <v>0</v>
      </c>
      <c r="G10" s="146"/>
      <c r="H10" s="164">
        <v>0</v>
      </c>
      <c r="I10" s="20">
        <f t="shared" ref="I10:I22" si="0">H10-F10</f>
        <v>0</v>
      </c>
      <c r="J10" s="141" t="str">
        <f>IF(ABS(I10)&gt;IF(F10&lt;30,0.015,30*0.05/100),"Fail","Pass")</f>
        <v>Pass</v>
      </c>
      <c r="L10" s="3"/>
      <c r="M10" s="91"/>
      <c r="N10" s="91"/>
      <c r="P10" s="4"/>
    </row>
    <row r="11" spans="1:17" ht="27" customHeight="1" x14ac:dyDescent="0.35">
      <c r="A11" s="52"/>
      <c r="B11" s="18"/>
      <c r="C11" s="3"/>
      <c r="D11" s="18"/>
      <c r="E11" s="2"/>
      <c r="F11" s="159">
        <v>5</v>
      </c>
      <c r="G11" s="146" t="s">
        <v>95</v>
      </c>
      <c r="H11" s="165">
        <v>5.0010000000000003</v>
      </c>
      <c r="I11" s="20">
        <f t="shared" si="0"/>
        <v>1.000000000000334E-3</v>
      </c>
      <c r="J11" s="141" t="str">
        <f t="shared" ref="J11:J22" si="1">IF(ABS(I11)&gt;IF(F11&lt;30,0.015,30*0.05/100),"Fail","Pass")</f>
        <v>Pass</v>
      </c>
      <c r="L11" s="3"/>
      <c r="M11" s="91"/>
      <c r="N11" s="91"/>
      <c r="P11" s="4"/>
    </row>
    <row r="12" spans="1:17" ht="27" customHeight="1" x14ac:dyDescent="0.35">
      <c r="A12" s="52"/>
      <c r="B12" s="18"/>
      <c r="C12" s="3"/>
      <c r="D12" s="18"/>
      <c r="E12" s="2"/>
      <c r="F12" s="159">
        <v>10</v>
      </c>
      <c r="G12" s="146" t="s">
        <v>95</v>
      </c>
      <c r="H12" s="166">
        <v>10.000999999999999</v>
      </c>
      <c r="I12" s="20">
        <f t="shared" si="0"/>
        <v>9.9999999999944578E-4</v>
      </c>
      <c r="J12" s="141" t="str">
        <f t="shared" si="1"/>
        <v>Pass</v>
      </c>
      <c r="L12" s="3"/>
      <c r="M12" s="91"/>
      <c r="N12" s="91"/>
      <c r="P12" s="4"/>
    </row>
    <row r="13" spans="1:17" ht="27" customHeight="1" x14ac:dyDescent="0.35">
      <c r="A13" s="52"/>
      <c r="C13" s="2"/>
      <c r="D13" s="2"/>
      <c r="E13" s="2"/>
      <c r="F13" s="159">
        <v>15</v>
      </c>
      <c r="G13" s="146" t="s">
        <v>95</v>
      </c>
      <c r="H13" s="166">
        <v>15.002000000000001</v>
      </c>
      <c r="I13" s="20">
        <f t="shared" si="0"/>
        <v>2.0000000000006679E-3</v>
      </c>
      <c r="J13" s="141" t="str">
        <f t="shared" si="1"/>
        <v>Pass</v>
      </c>
      <c r="K13" s="3"/>
      <c r="L13" s="3"/>
      <c r="M13" s="2"/>
      <c r="P13" s="4"/>
    </row>
    <row r="14" spans="1:17" ht="27" customHeight="1" x14ac:dyDescent="0.35">
      <c r="A14" s="53"/>
      <c r="B14" s="13"/>
      <c r="C14" s="14"/>
      <c r="D14" s="2"/>
      <c r="E14" s="2"/>
      <c r="F14" s="159">
        <v>20</v>
      </c>
      <c r="G14" s="146" t="s">
        <v>95</v>
      </c>
      <c r="H14" s="166">
        <v>20.001999999999999</v>
      </c>
      <c r="I14" s="20">
        <f t="shared" si="0"/>
        <v>1.9999999999988916E-3</v>
      </c>
      <c r="J14" s="141" t="str">
        <f t="shared" si="1"/>
        <v>Pass</v>
      </c>
      <c r="K14" s="14"/>
      <c r="L14" s="14"/>
      <c r="M14" s="15"/>
      <c r="P14" s="54"/>
    </row>
    <row r="15" spans="1:17" ht="27" customHeight="1" x14ac:dyDescent="0.35">
      <c r="A15" s="12"/>
      <c r="C15" s="13"/>
      <c r="D15" s="14"/>
      <c r="E15" s="14"/>
      <c r="F15" s="159">
        <v>25</v>
      </c>
      <c r="G15" s="147" t="s">
        <v>95</v>
      </c>
      <c r="H15" s="166">
        <v>25.003</v>
      </c>
      <c r="I15" s="20">
        <f t="shared" si="0"/>
        <v>3.0000000000001137E-3</v>
      </c>
      <c r="J15" s="141" t="str">
        <f t="shared" si="1"/>
        <v>Pass</v>
      </c>
      <c r="K15" s="13"/>
      <c r="L15" s="13"/>
      <c r="M15" s="14"/>
      <c r="N15" s="14"/>
      <c r="P15" s="4"/>
      <c r="Q15" s="2"/>
    </row>
    <row r="16" spans="1:17" s="1" customFormat="1" ht="27" customHeight="1" x14ac:dyDescent="0.45">
      <c r="A16" s="95"/>
      <c r="B16" s="5"/>
      <c r="C16" s="2"/>
      <c r="D16" s="2"/>
      <c r="E16" s="2"/>
      <c r="F16" s="159">
        <v>30</v>
      </c>
      <c r="G16" s="221"/>
      <c r="H16" s="166">
        <v>30.016999999999999</v>
      </c>
      <c r="I16" s="20">
        <f t="shared" si="0"/>
        <v>1.699999999999946E-2</v>
      </c>
      <c r="J16" s="141" t="str">
        <f t="shared" si="1"/>
        <v>Fail</v>
      </c>
      <c r="K16" s="55"/>
      <c r="L16" s="55"/>
      <c r="M16" s="55"/>
      <c r="N16" s="56"/>
      <c r="P16" s="10"/>
    </row>
    <row r="17" spans="1:16" s="1" customFormat="1" ht="27" customHeight="1" x14ac:dyDescent="0.35">
      <c r="A17" s="7"/>
      <c r="B17" s="87"/>
      <c r="C17" s="87"/>
      <c r="D17" s="87"/>
      <c r="E17" s="87"/>
      <c r="F17" s="159">
        <f>F15</f>
        <v>25</v>
      </c>
      <c r="G17" s="146" t="s">
        <v>95</v>
      </c>
      <c r="H17" s="166">
        <v>25.004999999999999</v>
      </c>
      <c r="I17" s="20">
        <f t="shared" si="0"/>
        <v>4.9999999999990052E-3</v>
      </c>
      <c r="J17" s="141" t="str">
        <f t="shared" si="1"/>
        <v>Pass</v>
      </c>
      <c r="K17" s="87"/>
      <c r="L17" s="87"/>
      <c r="M17" s="87"/>
      <c r="N17" s="87"/>
      <c r="O17" s="88"/>
      <c r="P17" s="94"/>
    </row>
    <row r="18" spans="1:16" s="1" customFormat="1" ht="27" customHeight="1" x14ac:dyDescent="0.35">
      <c r="A18" s="11"/>
      <c r="B18" s="18"/>
      <c r="C18" s="18"/>
      <c r="D18" s="18"/>
      <c r="E18" s="18"/>
      <c r="F18" s="159">
        <f>F14</f>
        <v>20</v>
      </c>
      <c r="G18" s="146" t="s">
        <v>95</v>
      </c>
      <c r="H18" s="166">
        <v>20.004999999999999</v>
      </c>
      <c r="I18" s="20">
        <f t="shared" si="0"/>
        <v>4.9999999999990052E-3</v>
      </c>
      <c r="J18" s="141" t="str">
        <f t="shared" si="1"/>
        <v>Pass</v>
      </c>
      <c r="K18" s="18"/>
      <c r="L18" s="18"/>
      <c r="M18" s="18"/>
      <c r="N18" s="18"/>
      <c r="O18" s="18"/>
      <c r="P18" s="57"/>
    </row>
    <row r="19" spans="1:16" s="1" customFormat="1" ht="27" customHeight="1" x14ac:dyDescent="0.35">
      <c r="A19" s="58"/>
      <c r="B19" s="18"/>
      <c r="C19" s="18"/>
      <c r="D19" s="18"/>
      <c r="E19" s="59"/>
      <c r="F19" s="159">
        <f>F13</f>
        <v>15</v>
      </c>
      <c r="G19" s="146" t="s">
        <v>95</v>
      </c>
      <c r="H19" s="166">
        <v>15.005000000000001</v>
      </c>
      <c r="I19" s="20">
        <f t="shared" si="0"/>
        <v>5.0000000000007816E-3</v>
      </c>
      <c r="J19" s="141" t="str">
        <f t="shared" si="1"/>
        <v>Pass</v>
      </c>
      <c r="K19" s="18"/>
      <c r="L19" s="60"/>
      <c r="M19" s="60"/>
      <c r="N19" s="60"/>
      <c r="O19" s="15"/>
      <c r="P19" s="54"/>
    </row>
    <row r="20" spans="1:16" s="1" customFormat="1" ht="27" customHeight="1" x14ac:dyDescent="0.35">
      <c r="A20" s="11"/>
      <c r="B20" s="18"/>
      <c r="C20" s="18"/>
      <c r="D20" s="18"/>
      <c r="E20" s="18"/>
      <c r="F20" s="159">
        <f>F12</f>
        <v>10</v>
      </c>
      <c r="G20" s="146" t="s">
        <v>95</v>
      </c>
      <c r="H20" s="166">
        <v>10.004</v>
      </c>
      <c r="I20" s="20">
        <f t="shared" si="0"/>
        <v>3.9999999999995595E-3</v>
      </c>
      <c r="J20" s="141" t="str">
        <f t="shared" si="1"/>
        <v>Pass</v>
      </c>
      <c r="K20" s="60"/>
      <c r="M20" s="60"/>
      <c r="O20" s="60"/>
      <c r="P20" s="54"/>
    </row>
    <row r="21" spans="1:16" s="1" customFormat="1" ht="27" customHeight="1" x14ac:dyDescent="0.35">
      <c r="A21" s="11"/>
      <c r="B21" s="18"/>
      <c r="C21" s="18"/>
      <c r="D21" s="18"/>
      <c r="E21" s="18"/>
      <c r="F21" s="159">
        <f>F11</f>
        <v>5</v>
      </c>
      <c r="G21" s="146" t="s">
        <v>95</v>
      </c>
      <c r="H21" s="167">
        <v>5.0039999999999996</v>
      </c>
      <c r="I21" s="20">
        <f t="shared" si="0"/>
        <v>3.9999999999995595E-3</v>
      </c>
      <c r="J21" s="141" t="str">
        <f t="shared" si="1"/>
        <v>Pass</v>
      </c>
      <c r="K21" s="60"/>
      <c r="M21" s="60"/>
      <c r="O21" s="60"/>
      <c r="P21" s="54"/>
    </row>
    <row r="22" spans="1:16" s="1" customFormat="1" ht="27" customHeight="1" thickBot="1" x14ac:dyDescent="0.4">
      <c r="A22" s="19"/>
      <c r="B22" s="2"/>
      <c r="C22" s="2"/>
      <c r="D22" s="2"/>
      <c r="E22" s="2"/>
      <c r="F22" s="160">
        <v>0</v>
      </c>
      <c r="G22" s="148" t="s">
        <v>95</v>
      </c>
      <c r="H22" s="168">
        <v>2E-3</v>
      </c>
      <c r="I22" s="151">
        <f t="shared" si="0"/>
        <v>2E-3</v>
      </c>
      <c r="J22" s="142" t="str">
        <f t="shared" si="1"/>
        <v>Pass</v>
      </c>
      <c r="K22" s="2"/>
      <c r="L22" s="2"/>
      <c r="M22" s="2"/>
      <c r="N22" s="2"/>
      <c r="O22" s="2"/>
      <c r="P22" s="4"/>
    </row>
    <row r="23" spans="1:16" s="1" customFormat="1" ht="27" customHeight="1" x14ac:dyDescent="0.35">
      <c r="A23" s="16"/>
      <c r="B23" s="5"/>
      <c r="C23" s="2"/>
      <c r="D23" s="2"/>
      <c r="E23" s="2"/>
      <c r="F23" s="2"/>
      <c r="G23" s="2" t="s">
        <v>95</v>
      </c>
      <c r="H23" s="2"/>
      <c r="I23" s="2"/>
      <c r="J23" s="2"/>
      <c r="K23" s="2"/>
      <c r="L23" s="2"/>
      <c r="M23" s="2"/>
      <c r="N23" s="2"/>
      <c r="O23" s="9"/>
      <c r="P23" s="10"/>
    </row>
    <row r="24" spans="1:16" s="1" customFormat="1" ht="27" customHeight="1" thickBot="1" x14ac:dyDescent="0.4">
      <c r="A24" s="16"/>
      <c r="B24" s="5"/>
      <c r="C24" s="2"/>
      <c r="D24" s="28"/>
      <c r="E24" s="27"/>
      <c r="G24" s="29"/>
      <c r="H24" s="89" t="s">
        <v>59</v>
      </c>
      <c r="I24" s="29"/>
      <c r="J24" s="27"/>
      <c r="K24" s="27"/>
      <c r="L24" s="276" t="s">
        <v>60</v>
      </c>
      <c r="M24" s="276"/>
      <c r="N24" s="2"/>
      <c r="O24" s="9"/>
      <c r="P24" s="10"/>
    </row>
    <row r="25" spans="1:16" s="1" customFormat="1" ht="31.5" thickBot="1" x14ac:dyDescent="0.4">
      <c r="A25" s="7"/>
      <c r="B25" s="5"/>
      <c r="C25" s="2"/>
      <c r="D25" s="33" t="s">
        <v>56</v>
      </c>
      <c r="E25" s="31"/>
      <c r="F25" s="30" t="s">
        <v>61</v>
      </c>
      <c r="G25" s="30" t="s">
        <v>62</v>
      </c>
      <c r="H25" s="30" t="s">
        <v>63</v>
      </c>
      <c r="I25" s="30" t="s">
        <v>64</v>
      </c>
      <c r="J25" s="31" t="s">
        <v>50</v>
      </c>
      <c r="K25" s="34" t="s">
        <v>58</v>
      </c>
      <c r="L25" s="35" t="s">
        <v>65</v>
      </c>
      <c r="M25" s="36" t="s">
        <v>66</v>
      </c>
      <c r="N25" s="2"/>
      <c r="O25" s="9"/>
      <c r="P25" s="10"/>
    </row>
    <row r="26" spans="1:16" s="1" customFormat="1" ht="27" customHeight="1" x14ac:dyDescent="0.35">
      <c r="A26" s="17"/>
      <c r="B26" s="5"/>
      <c r="C26" s="2"/>
      <c r="D26" s="161">
        <f t="shared" ref="D26:D38" si="2">F10</f>
        <v>0</v>
      </c>
      <c r="E26" s="146"/>
      <c r="F26" s="169">
        <v>0</v>
      </c>
      <c r="G26" s="169">
        <v>0</v>
      </c>
      <c r="H26" s="169">
        <v>0</v>
      </c>
      <c r="I26" s="169">
        <f>(F26+G26+H26)/3</f>
        <v>0</v>
      </c>
      <c r="J26" s="220">
        <f t="shared" ref="J26:J38" si="3">I26-D26</f>
        <v>0</v>
      </c>
      <c r="K26" s="149" t="str">
        <f>IF(OR(I26&lt;L26,I26&gt;M26),"Fail","Pass")</f>
        <v>Pass</v>
      </c>
      <c r="L26" s="152">
        <v>-1.4999999999999999E-2</v>
      </c>
      <c r="M26" s="153">
        <v>1.4999999999999999E-2</v>
      </c>
      <c r="N26" s="2"/>
      <c r="O26" s="92"/>
      <c r="P26" s="10"/>
    </row>
    <row r="27" spans="1:16" s="1" customFormat="1" ht="27" customHeight="1" x14ac:dyDescent="0.35">
      <c r="A27" s="17"/>
      <c r="B27" s="5"/>
      <c r="C27" s="2"/>
      <c r="D27" s="161">
        <f t="shared" si="2"/>
        <v>5</v>
      </c>
      <c r="E27" s="146"/>
      <c r="F27" s="170">
        <v>5.0670000000000002</v>
      </c>
      <c r="G27" s="170">
        <v>5.0670000000000002</v>
      </c>
      <c r="H27" s="170">
        <v>5.0670000000000002</v>
      </c>
      <c r="I27" s="170">
        <f>(F27+G27+H27)/3</f>
        <v>5.0670000000000002</v>
      </c>
      <c r="J27" s="220">
        <f t="shared" si="3"/>
        <v>6.7000000000000171E-2</v>
      </c>
      <c r="K27" s="149" t="str">
        <f>IF(OR(I27&lt;L27,I27&gt;M27),"Fail","Pass")</f>
        <v>Fail</v>
      </c>
      <c r="L27" s="154">
        <v>4.9850000000000003</v>
      </c>
      <c r="M27" s="155">
        <v>5.0149999999999997</v>
      </c>
      <c r="N27" s="2"/>
      <c r="O27" s="92"/>
      <c r="P27" s="10"/>
    </row>
    <row r="28" spans="1:16" s="1" customFormat="1" ht="27" customHeight="1" x14ac:dyDescent="0.35">
      <c r="A28" s="16"/>
      <c r="B28" s="5"/>
      <c r="C28" s="2"/>
      <c r="D28" s="161">
        <f t="shared" si="2"/>
        <v>10</v>
      </c>
      <c r="E28" s="146"/>
      <c r="F28" s="171">
        <v>10.000999999999999</v>
      </c>
      <c r="G28" s="171">
        <v>10.000999999999999</v>
      </c>
      <c r="H28" s="171">
        <v>10.000999999999999</v>
      </c>
      <c r="I28" s="171">
        <f>(F28+G28+H28)/3</f>
        <v>10.000999999999999</v>
      </c>
      <c r="J28" s="220">
        <f t="shared" si="3"/>
        <v>9.9999999999944578E-4</v>
      </c>
      <c r="K28" s="149" t="str">
        <f t="shared" ref="K28:K38" si="4">IF(OR(I28&lt;L28,I28&gt;M28),"Fail","Pass")</f>
        <v>Pass</v>
      </c>
      <c r="L28" s="154">
        <v>9.9849999999999994</v>
      </c>
      <c r="M28" s="155">
        <v>10.015000000000001</v>
      </c>
      <c r="N28" s="2"/>
      <c r="O28" s="92"/>
      <c r="P28" s="10"/>
    </row>
    <row r="29" spans="1:16" s="1" customFormat="1" ht="27" customHeight="1" x14ac:dyDescent="0.35">
      <c r="A29" s="16"/>
      <c r="B29" s="5"/>
      <c r="C29" s="2"/>
      <c r="D29" s="161">
        <f t="shared" si="2"/>
        <v>15</v>
      </c>
      <c r="E29" s="146"/>
      <c r="F29" s="171">
        <v>15.002000000000001</v>
      </c>
      <c r="G29" s="171">
        <v>15.000999999999999</v>
      </c>
      <c r="H29" s="171">
        <v>15.000999999999999</v>
      </c>
      <c r="I29" s="171">
        <f t="shared" ref="I29:I38" si="5">(F29+G29+H29)/3</f>
        <v>15.001333333333333</v>
      </c>
      <c r="J29" s="220">
        <f t="shared" si="3"/>
        <v>1.3333333333331865E-3</v>
      </c>
      <c r="K29" s="149" t="str">
        <f>IF(OR(I29&lt;L29,I29&gt;M29),"Fail","Pass")</f>
        <v>Pass</v>
      </c>
      <c r="L29" s="154">
        <v>14.984999999999999</v>
      </c>
      <c r="M29" s="155">
        <v>15.015000000000001</v>
      </c>
      <c r="N29" s="2"/>
      <c r="O29" s="92"/>
      <c r="P29" s="10"/>
    </row>
    <row r="30" spans="1:16" s="1" customFormat="1" ht="27" customHeight="1" x14ac:dyDescent="0.35">
      <c r="A30" s="7"/>
      <c r="B30" s="5"/>
      <c r="C30" s="2"/>
      <c r="D30" s="161">
        <f t="shared" si="2"/>
        <v>20</v>
      </c>
      <c r="E30" s="146"/>
      <c r="F30" s="171">
        <v>20.001999999999999</v>
      </c>
      <c r="G30" s="171">
        <v>20.001000000000001</v>
      </c>
      <c r="H30" s="171">
        <v>20.001000000000001</v>
      </c>
      <c r="I30" s="171">
        <f t="shared" si="5"/>
        <v>20.001333333333335</v>
      </c>
      <c r="J30" s="220">
        <f t="shared" si="3"/>
        <v>1.3333333333349628E-3</v>
      </c>
      <c r="K30" s="149" t="str">
        <f t="shared" si="4"/>
        <v>Pass</v>
      </c>
      <c r="L30" s="154">
        <v>19.984999999999999</v>
      </c>
      <c r="M30" s="155">
        <v>20.015000000000001</v>
      </c>
      <c r="N30" s="2"/>
      <c r="O30" s="92"/>
      <c r="P30" s="10"/>
    </row>
    <row r="31" spans="1:16" s="1" customFormat="1" ht="27" customHeight="1" x14ac:dyDescent="0.35">
      <c r="A31" s="17"/>
      <c r="B31" s="5"/>
      <c r="C31" s="2"/>
      <c r="D31" s="161">
        <f t="shared" si="2"/>
        <v>25</v>
      </c>
      <c r="E31" s="146"/>
      <c r="F31" s="171">
        <v>25.003</v>
      </c>
      <c r="G31" s="171">
        <v>25.001999999999999</v>
      </c>
      <c r="H31" s="171">
        <v>25.001999999999999</v>
      </c>
      <c r="I31" s="171">
        <f t="shared" si="5"/>
        <v>25.002333333333329</v>
      </c>
      <c r="J31" s="220">
        <f t="shared" si="3"/>
        <v>2.3333333333290796E-3</v>
      </c>
      <c r="K31" s="149" t="str">
        <f t="shared" si="4"/>
        <v>Pass</v>
      </c>
      <c r="L31" s="154">
        <v>24.984999999999999</v>
      </c>
      <c r="M31" s="155">
        <v>25.015000000000001</v>
      </c>
      <c r="N31" s="2"/>
      <c r="O31" s="92"/>
      <c r="P31" s="10"/>
    </row>
    <row r="32" spans="1:16" s="1" customFormat="1" ht="27" customHeight="1" x14ac:dyDescent="0.35">
      <c r="A32" s="16"/>
      <c r="B32" s="5"/>
      <c r="C32" s="2"/>
      <c r="D32" s="161">
        <f t="shared" si="2"/>
        <v>30</v>
      </c>
      <c r="E32" s="146"/>
      <c r="F32" s="171">
        <v>30</v>
      </c>
      <c r="G32" s="171">
        <v>30</v>
      </c>
      <c r="H32" s="171">
        <v>30</v>
      </c>
      <c r="I32" s="171">
        <v>30</v>
      </c>
      <c r="J32" s="220">
        <f t="shared" si="3"/>
        <v>0</v>
      </c>
      <c r="K32" s="149" t="str">
        <f t="shared" si="4"/>
        <v>Pass</v>
      </c>
      <c r="L32" s="154">
        <v>29.984999999999999</v>
      </c>
      <c r="M32" s="155">
        <v>30.015000000000001</v>
      </c>
      <c r="N32" s="2"/>
      <c r="O32" s="92"/>
      <c r="P32" s="10"/>
    </row>
    <row r="33" spans="1:36" s="1" customFormat="1" ht="27" customHeight="1" x14ac:dyDescent="0.35">
      <c r="A33" s="61"/>
      <c r="B33" s="5"/>
      <c r="C33" s="2"/>
      <c r="D33" s="161">
        <f t="shared" si="2"/>
        <v>25</v>
      </c>
      <c r="E33" s="146"/>
      <c r="F33" s="171">
        <v>25.004999999999999</v>
      </c>
      <c r="G33" s="171">
        <v>25.003</v>
      </c>
      <c r="H33" s="171">
        <v>25.003999999999998</v>
      </c>
      <c r="I33" s="171">
        <f t="shared" si="5"/>
        <v>25.004000000000001</v>
      </c>
      <c r="J33" s="220">
        <f t="shared" si="3"/>
        <v>4.0000000000013358E-3</v>
      </c>
      <c r="K33" s="149" t="str">
        <f t="shared" si="4"/>
        <v>Pass</v>
      </c>
      <c r="L33" s="154">
        <v>24.984999999999999</v>
      </c>
      <c r="M33" s="155">
        <v>25.015000000000001</v>
      </c>
      <c r="N33" s="2"/>
      <c r="O33" s="92"/>
      <c r="P33" s="10"/>
    </row>
    <row r="34" spans="1:36" s="1" customFormat="1" ht="27" customHeight="1" x14ac:dyDescent="0.35">
      <c r="A34" s="62"/>
      <c r="B34" s="5"/>
      <c r="C34" s="2"/>
      <c r="D34" s="161">
        <f t="shared" si="2"/>
        <v>20</v>
      </c>
      <c r="E34" s="146"/>
      <c r="F34" s="171">
        <v>20.004999999999999</v>
      </c>
      <c r="G34" s="171">
        <v>20.003</v>
      </c>
      <c r="H34" s="171">
        <v>20.003999999999998</v>
      </c>
      <c r="I34" s="171">
        <f t="shared" si="5"/>
        <v>20.003999999999998</v>
      </c>
      <c r="J34" s="220">
        <f t="shared" si="3"/>
        <v>3.9999999999977831E-3</v>
      </c>
      <c r="K34" s="149" t="str">
        <f t="shared" si="4"/>
        <v>Pass</v>
      </c>
      <c r="L34" s="154">
        <v>19.984999999999999</v>
      </c>
      <c r="M34" s="155">
        <v>20.015000000000001</v>
      </c>
      <c r="N34" s="2"/>
      <c r="O34" s="92"/>
      <c r="P34" s="10"/>
    </row>
    <row r="35" spans="1:36" s="1" customFormat="1" ht="27" customHeight="1" x14ac:dyDescent="0.35">
      <c r="A35" s="12"/>
      <c r="D35" s="161">
        <f t="shared" si="2"/>
        <v>15</v>
      </c>
      <c r="E35" s="146"/>
      <c r="F35" s="171">
        <v>15.005000000000001</v>
      </c>
      <c r="G35" s="171">
        <v>15.003</v>
      </c>
      <c r="H35" s="171">
        <v>15.004000000000001</v>
      </c>
      <c r="I35" s="171">
        <f t="shared" si="5"/>
        <v>15.004</v>
      </c>
      <c r="J35" s="220">
        <f t="shared" si="3"/>
        <v>3.9999999999995595E-3</v>
      </c>
      <c r="K35" s="149" t="str">
        <f t="shared" si="4"/>
        <v>Pass</v>
      </c>
      <c r="L35" s="154">
        <v>14.984999999999999</v>
      </c>
      <c r="M35" s="155">
        <v>15.015000000000001</v>
      </c>
      <c r="N35" s="2"/>
      <c r="O35" s="92"/>
      <c r="P35" s="4"/>
    </row>
    <row r="36" spans="1:36" s="1" customFormat="1" ht="27" customHeight="1" x14ac:dyDescent="0.35">
      <c r="A36" s="12"/>
      <c r="D36" s="161">
        <f t="shared" si="2"/>
        <v>10</v>
      </c>
      <c r="E36" s="146"/>
      <c r="F36" s="171">
        <v>10.004</v>
      </c>
      <c r="G36" s="171">
        <v>10.002000000000001</v>
      </c>
      <c r="H36" s="171">
        <v>10.003</v>
      </c>
      <c r="I36" s="171">
        <f t="shared" si="5"/>
        <v>10.003</v>
      </c>
      <c r="J36" s="220">
        <f t="shared" si="3"/>
        <v>3.0000000000001137E-3</v>
      </c>
      <c r="K36" s="149" t="str">
        <f t="shared" si="4"/>
        <v>Pass</v>
      </c>
      <c r="L36" s="154">
        <v>9.9849999999999994</v>
      </c>
      <c r="M36" s="155">
        <v>10.015000000000001</v>
      </c>
      <c r="O36" s="92"/>
      <c r="P36" s="57"/>
    </row>
    <row r="37" spans="1:36" s="1" customFormat="1" ht="27" customHeight="1" x14ac:dyDescent="0.35">
      <c r="A37" s="12"/>
      <c r="D37" s="161">
        <f t="shared" si="2"/>
        <v>5</v>
      </c>
      <c r="E37" s="146"/>
      <c r="F37" s="170">
        <v>5.0670000000000002</v>
      </c>
      <c r="G37" s="170">
        <v>5.0670000000000002</v>
      </c>
      <c r="H37" s="170">
        <v>5.0670000000000002</v>
      </c>
      <c r="I37" s="172">
        <f t="shared" si="5"/>
        <v>5.0670000000000002</v>
      </c>
      <c r="J37" s="220">
        <f t="shared" si="3"/>
        <v>6.7000000000000171E-2</v>
      </c>
      <c r="K37" s="149" t="str">
        <f t="shared" si="4"/>
        <v>Fail</v>
      </c>
      <c r="L37" s="154">
        <v>4.9850000000000003</v>
      </c>
      <c r="M37" s="155">
        <v>5.0149999999999997</v>
      </c>
      <c r="O37" s="92"/>
      <c r="P37" s="57"/>
    </row>
    <row r="38" spans="1:36" s="1" customFormat="1" ht="27" customHeight="1" thickBot="1" x14ac:dyDescent="0.4">
      <c r="A38" s="12"/>
      <c r="D38" s="162">
        <f t="shared" si="2"/>
        <v>0</v>
      </c>
      <c r="E38" s="148"/>
      <c r="F38" s="173">
        <v>2E-3</v>
      </c>
      <c r="G38" s="173">
        <v>0</v>
      </c>
      <c r="H38" s="173">
        <v>1E-3</v>
      </c>
      <c r="I38" s="173">
        <f t="shared" si="5"/>
        <v>1E-3</v>
      </c>
      <c r="J38" s="151">
        <f t="shared" si="3"/>
        <v>1E-3</v>
      </c>
      <c r="K38" s="150" t="str">
        <f t="shared" si="4"/>
        <v>Pass</v>
      </c>
      <c r="L38" s="156">
        <v>-1.4999999999999999E-2</v>
      </c>
      <c r="M38" s="157">
        <v>1.4999999999999999E-2</v>
      </c>
      <c r="O38" s="92"/>
      <c r="P38" s="57"/>
      <c r="R38" s="73"/>
      <c r="S38" s="73"/>
      <c r="T38" s="74"/>
      <c r="U38" s="74"/>
      <c r="V38" s="75"/>
      <c r="W38" s="75"/>
      <c r="X38" s="75"/>
      <c r="Y38" s="74"/>
      <c r="Z38" s="74"/>
      <c r="AA38" s="75"/>
      <c r="AB38" s="75"/>
      <c r="AC38" s="75"/>
      <c r="AD38" s="75"/>
      <c r="AE38" s="75"/>
      <c r="AF38" s="76"/>
      <c r="AG38" s="77"/>
      <c r="AH38" s="77"/>
      <c r="AI38" s="78"/>
      <c r="AJ38" s="79"/>
    </row>
    <row r="39" spans="1:36" s="1" customFormat="1" ht="15.75" customHeight="1" x14ac:dyDescent="0.35">
      <c r="A39" s="12"/>
      <c r="H39" s="1" t="s">
        <v>95</v>
      </c>
      <c r="P39" s="57"/>
      <c r="R39" s="22"/>
      <c r="S39" s="21"/>
      <c r="T39" s="2"/>
      <c r="U39" s="2"/>
      <c r="V39" s="80"/>
      <c r="W39" s="81"/>
      <c r="X39" s="65"/>
      <c r="Y39" s="39"/>
      <c r="Z39" s="39"/>
      <c r="AA39" s="39"/>
      <c r="AB39" s="39"/>
      <c r="AC39" s="39"/>
      <c r="AD39" s="39"/>
      <c r="AE39" s="21"/>
      <c r="AF39" s="63"/>
      <c r="AG39" s="82"/>
      <c r="AH39" s="82"/>
      <c r="AI39" s="83"/>
      <c r="AJ39" s="84"/>
    </row>
    <row r="40" spans="1:36" s="1" customFormat="1" ht="15.5" x14ac:dyDescent="0.35">
      <c r="A40" s="12"/>
      <c r="B40" s="124"/>
      <c r="P40" s="57"/>
      <c r="R40" s="22"/>
      <c r="S40" s="21"/>
      <c r="T40" s="2"/>
      <c r="U40" s="2"/>
      <c r="V40" s="80"/>
      <c r="W40" s="81"/>
      <c r="X40" s="65"/>
      <c r="Y40" s="39"/>
      <c r="Z40" s="39"/>
      <c r="AA40" s="39"/>
      <c r="AB40" s="39"/>
      <c r="AC40" s="39"/>
      <c r="AD40" s="39"/>
      <c r="AE40" s="21"/>
      <c r="AF40" s="63"/>
      <c r="AG40" s="82"/>
      <c r="AH40" s="82"/>
      <c r="AI40" s="83"/>
      <c r="AJ40" s="84"/>
    </row>
    <row r="41" spans="1:36" s="1" customFormat="1" ht="15.5" x14ac:dyDescent="0.35">
      <c r="A41" s="12"/>
      <c r="C41" s="124"/>
      <c r="P41" s="57"/>
      <c r="R41" s="22"/>
      <c r="S41" s="21"/>
      <c r="T41" s="2"/>
      <c r="U41" s="2"/>
      <c r="V41" s="80"/>
      <c r="W41" s="81"/>
      <c r="X41" s="65"/>
      <c r="Y41" s="39"/>
      <c r="Z41" s="39"/>
      <c r="AA41" s="39"/>
      <c r="AB41" s="39"/>
      <c r="AC41" s="39"/>
      <c r="AD41" s="39"/>
      <c r="AE41" s="21"/>
      <c r="AF41" s="63"/>
      <c r="AG41" s="82"/>
      <c r="AH41" s="82"/>
      <c r="AI41" s="83"/>
      <c r="AJ41" s="84"/>
    </row>
    <row r="42" spans="1:36" s="1" customFormat="1" ht="15.5" x14ac:dyDescent="0.35">
      <c r="A42" s="12"/>
      <c r="B42" s="188"/>
      <c r="C42" s="26"/>
      <c r="P42" s="57"/>
      <c r="R42" s="22"/>
      <c r="S42" s="21"/>
      <c r="T42" s="2"/>
      <c r="U42" s="2"/>
      <c r="V42" s="80"/>
      <c r="W42" s="81"/>
      <c r="X42" s="65"/>
      <c r="Y42" s="39"/>
      <c r="Z42" s="39"/>
      <c r="AA42" s="39"/>
      <c r="AB42" s="39"/>
      <c r="AC42" s="39"/>
      <c r="AD42" s="39"/>
      <c r="AE42" s="21"/>
      <c r="AF42" s="63"/>
      <c r="AG42" s="82"/>
      <c r="AH42" s="82"/>
      <c r="AI42" s="83"/>
      <c r="AJ42" s="84"/>
    </row>
    <row r="43" spans="1:36" s="1" customFormat="1" ht="15.5" x14ac:dyDescent="0.35">
      <c r="A43" s="12"/>
      <c r="D43" s="2"/>
      <c r="E43" s="18"/>
      <c r="G43" s="139"/>
      <c r="H43"/>
      <c r="I43" s="3"/>
      <c r="J43" s="139"/>
      <c r="M43" s="2"/>
      <c r="P43" s="57"/>
      <c r="R43" s="22"/>
      <c r="S43" s="21"/>
      <c r="T43" s="2"/>
      <c r="U43" s="2"/>
      <c r="V43" s="80"/>
      <c r="W43" s="81"/>
      <c r="X43" s="65"/>
      <c r="Y43" s="39"/>
      <c r="Z43" s="39"/>
      <c r="AA43" s="39"/>
      <c r="AB43" s="39"/>
      <c r="AC43" s="39"/>
      <c r="AD43" s="39"/>
      <c r="AE43" s="21"/>
      <c r="AF43" s="63"/>
      <c r="AG43" s="82"/>
      <c r="AH43" s="82"/>
      <c r="AI43" s="83"/>
      <c r="AJ43" s="84"/>
    </row>
    <row r="44" spans="1:36" s="1" customFormat="1" ht="15.5" x14ac:dyDescent="0.35">
      <c r="A44" s="12"/>
      <c r="E44" s="18"/>
      <c r="G44" s="139"/>
      <c r="H44" s="2"/>
      <c r="I44" s="3"/>
      <c r="J44" s="139"/>
      <c r="K44" s="2"/>
      <c r="L44" s="2"/>
      <c r="M44" s="2"/>
      <c r="N44" s="3"/>
      <c r="O44" s="68"/>
      <c r="P44" s="57"/>
      <c r="R44" s="22"/>
      <c r="S44" s="21"/>
      <c r="T44" s="2"/>
      <c r="U44" s="2"/>
      <c r="V44" s="80"/>
      <c r="W44" s="81"/>
      <c r="X44" s="65"/>
      <c r="Y44" s="39"/>
      <c r="Z44" s="39"/>
      <c r="AA44" s="39"/>
      <c r="AB44" s="39"/>
      <c r="AC44" s="39"/>
      <c r="AD44" s="39"/>
      <c r="AE44" s="21"/>
      <c r="AF44" s="63"/>
      <c r="AG44" s="82"/>
      <c r="AH44" s="82"/>
      <c r="AI44" s="83"/>
      <c r="AJ44" s="84"/>
    </row>
    <row r="45" spans="1:36" s="1" customFormat="1" ht="15.5" x14ac:dyDescent="0.35">
      <c r="A45" s="12"/>
      <c r="B45" s="5"/>
      <c r="C45" s="2"/>
      <c r="F45" s="37"/>
      <c r="P45" s="57"/>
      <c r="R45" s="22"/>
      <c r="S45" s="21"/>
      <c r="T45" s="2"/>
      <c r="U45" s="2"/>
      <c r="V45" s="80"/>
      <c r="W45" s="81"/>
      <c r="X45" s="65"/>
      <c r="Y45" s="39"/>
      <c r="Z45" s="39"/>
      <c r="AA45" s="39"/>
      <c r="AB45" s="39"/>
      <c r="AC45" s="39"/>
      <c r="AD45" s="39"/>
      <c r="AE45" s="21"/>
      <c r="AF45" s="63"/>
      <c r="AG45" s="82"/>
      <c r="AH45" s="82"/>
      <c r="AI45" s="83"/>
      <c r="AJ45" s="84"/>
    </row>
    <row r="46" spans="1:36" s="1" customFormat="1" ht="15.5" x14ac:dyDescent="0.35">
      <c r="A46" s="12"/>
      <c r="E46" s="18"/>
      <c r="P46" s="57"/>
      <c r="R46" s="22"/>
      <c r="S46" s="21"/>
      <c r="T46" s="2"/>
      <c r="U46" s="2"/>
      <c r="V46" s="80"/>
      <c r="W46" s="81"/>
      <c r="X46" s="65"/>
      <c r="Y46" s="39"/>
      <c r="Z46" s="39"/>
      <c r="AA46" s="39"/>
      <c r="AB46" s="39"/>
      <c r="AC46" s="39"/>
      <c r="AD46" s="39"/>
      <c r="AE46" s="21"/>
      <c r="AF46" s="63"/>
      <c r="AG46" s="82"/>
      <c r="AH46" s="82"/>
      <c r="AI46" s="83"/>
      <c r="AJ46" s="84"/>
    </row>
    <row r="47" spans="1:36" s="1" customFormat="1" ht="16" thickBot="1" x14ac:dyDescent="0.4">
      <c r="A47" s="69"/>
      <c r="B47" s="70"/>
      <c r="C47" s="70"/>
      <c r="D47" s="70"/>
      <c r="E47" s="70"/>
      <c r="F47" s="90"/>
      <c r="G47" s="70"/>
      <c r="H47" s="70"/>
      <c r="I47" s="70"/>
      <c r="J47" s="70"/>
      <c r="K47" s="70"/>
      <c r="L47" s="70"/>
      <c r="M47" s="70"/>
      <c r="N47" s="70"/>
      <c r="O47" s="70"/>
      <c r="P47" s="71"/>
      <c r="R47" s="22"/>
      <c r="S47" s="21"/>
      <c r="T47" s="2"/>
      <c r="U47" s="2"/>
      <c r="V47" s="80"/>
      <c r="W47" s="81"/>
      <c r="X47" s="65"/>
      <c r="Y47" s="39"/>
      <c r="Z47" s="39"/>
      <c r="AA47" s="39"/>
      <c r="AB47" s="39"/>
      <c r="AC47" s="39"/>
      <c r="AD47" s="39"/>
      <c r="AE47" s="21"/>
      <c r="AF47" s="63"/>
      <c r="AG47" s="82"/>
      <c r="AH47" s="82"/>
      <c r="AI47" s="83"/>
      <c r="AJ47" s="84"/>
    </row>
    <row r="48" spans="1:36" s="1" customFormat="1" ht="15.5" x14ac:dyDescent="0.35">
      <c r="F48" s="37"/>
      <c r="R48" s="22"/>
      <c r="S48" s="21"/>
      <c r="T48" s="2"/>
      <c r="U48" s="2"/>
      <c r="V48" s="80"/>
      <c r="W48" s="81"/>
      <c r="X48" s="65"/>
      <c r="Y48" s="39"/>
      <c r="Z48" s="39"/>
      <c r="AA48" s="39"/>
      <c r="AB48" s="39"/>
      <c r="AC48" s="39"/>
      <c r="AD48" s="39"/>
      <c r="AE48" s="21"/>
      <c r="AF48" s="63"/>
      <c r="AG48" s="82"/>
      <c r="AH48" s="82"/>
      <c r="AI48" s="83"/>
      <c r="AJ48" s="84"/>
    </row>
    <row r="49" spans="1:36" s="1" customFormat="1" ht="15.5" x14ac:dyDescent="0.35">
      <c r="F49" s="37"/>
      <c r="R49" s="22"/>
      <c r="S49" s="21"/>
      <c r="T49" s="2"/>
      <c r="U49" s="2"/>
      <c r="V49" s="80"/>
      <c r="W49" s="81"/>
      <c r="X49" s="65"/>
      <c r="Y49" s="39"/>
      <c r="Z49" s="39"/>
      <c r="AA49" s="39"/>
      <c r="AB49" s="39"/>
      <c r="AC49" s="39"/>
      <c r="AD49" s="39"/>
      <c r="AE49" s="21"/>
      <c r="AF49" s="63"/>
      <c r="AG49" s="82"/>
      <c r="AH49" s="82"/>
      <c r="AI49" s="83"/>
      <c r="AJ49" s="84"/>
    </row>
    <row r="50" spans="1:36" s="1" customFormat="1" ht="15.5" x14ac:dyDescent="0.35">
      <c r="F50" s="20"/>
      <c r="R50" s="39"/>
      <c r="S50" s="21"/>
      <c r="T50" s="39"/>
      <c r="U50" s="39"/>
      <c r="V50" s="85"/>
      <c r="W50" s="64"/>
      <c r="X50" s="65"/>
      <c r="Y50" s="39"/>
      <c r="Z50" s="39"/>
      <c r="AA50" s="39"/>
      <c r="AB50" s="39"/>
      <c r="AC50" s="39"/>
      <c r="AD50" s="39"/>
      <c r="AE50" s="21"/>
      <c r="AF50" s="63"/>
      <c r="AG50" s="82"/>
      <c r="AH50" s="82"/>
      <c r="AI50" s="83"/>
      <c r="AJ50" s="84"/>
    </row>
    <row r="51" spans="1:36" s="1" customFormat="1" ht="15.5" x14ac:dyDescent="0.35">
      <c r="A51" s="38"/>
      <c r="C51" s="39"/>
      <c r="D51" s="20"/>
      <c r="E51" s="40"/>
      <c r="F51" s="20"/>
      <c r="G51" s="20"/>
      <c r="H51" s="20"/>
      <c r="I51" s="39"/>
      <c r="J51" s="39"/>
      <c r="K51" s="39"/>
      <c r="L51" s="39"/>
      <c r="M51" s="20"/>
      <c r="N51" s="40"/>
      <c r="O51" s="37"/>
      <c r="P51" s="37"/>
      <c r="R51" s="39"/>
      <c r="S51" s="21"/>
      <c r="T51" s="39"/>
      <c r="U51" s="39"/>
      <c r="V51" s="39"/>
      <c r="W51" s="64"/>
      <c r="X51" s="65"/>
      <c r="Y51" s="39"/>
      <c r="Z51" s="39"/>
      <c r="AA51" s="39"/>
      <c r="AB51" s="39"/>
      <c r="AC51" s="39"/>
      <c r="AD51" s="39"/>
      <c r="AE51" s="21"/>
      <c r="AF51" s="63"/>
      <c r="AG51" s="82"/>
      <c r="AH51" s="82"/>
      <c r="AI51" s="83"/>
      <c r="AJ51" s="84"/>
    </row>
    <row r="52" spans="1:36" s="1" customFormat="1" ht="15.5" x14ac:dyDescent="0.35">
      <c r="A52" s="38"/>
      <c r="C52" s="39"/>
      <c r="D52" s="20"/>
      <c r="E52" s="40"/>
      <c r="F52" s="20"/>
      <c r="G52" s="20"/>
      <c r="H52" s="20"/>
      <c r="I52" s="39"/>
      <c r="J52" s="39"/>
      <c r="K52" s="39"/>
      <c r="L52" s="39"/>
      <c r="M52" s="20"/>
      <c r="N52" s="40"/>
      <c r="O52" s="37"/>
      <c r="P52" s="37"/>
      <c r="R52" s="39"/>
      <c r="S52" s="21"/>
      <c r="T52" s="39"/>
      <c r="U52" s="39"/>
      <c r="V52" s="39"/>
      <c r="W52" s="64"/>
      <c r="X52" s="65"/>
      <c r="Y52" s="39"/>
      <c r="Z52" s="39"/>
      <c r="AA52" s="39"/>
      <c r="AB52" s="39"/>
      <c r="AC52" s="39"/>
      <c r="AD52" s="39"/>
      <c r="AE52" s="21"/>
      <c r="AF52" s="63"/>
      <c r="AG52" s="82"/>
      <c r="AH52" s="82"/>
      <c r="AI52" s="83"/>
      <c r="AJ52" s="84"/>
    </row>
    <row r="53" spans="1:36" s="1" customFormat="1" ht="15.5" x14ac:dyDescent="0.35">
      <c r="A53" s="38"/>
      <c r="B53" s="5"/>
      <c r="C53" s="39"/>
      <c r="D53" s="20"/>
      <c r="E53" s="40"/>
      <c r="F53" s="20"/>
      <c r="G53" s="20"/>
      <c r="H53" s="20"/>
      <c r="I53" s="39"/>
      <c r="J53" s="39"/>
      <c r="K53" s="39"/>
      <c r="L53" s="39"/>
      <c r="M53" s="20"/>
      <c r="N53" s="40"/>
      <c r="O53" s="37"/>
      <c r="P53" s="37"/>
      <c r="R53" s="39"/>
      <c r="S53" s="21"/>
      <c r="T53" s="39"/>
      <c r="U53" s="39"/>
      <c r="V53" s="39"/>
      <c r="W53" s="64"/>
      <c r="X53" s="65"/>
      <c r="Y53" s="39"/>
      <c r="Z53" s="39"/>
      <c r="AA53" s="39"/>
      <c r="AB53" s="39"/>
      <c r="AC53" s="39"/>
      <c r="AD53" s="39"/>
      <c r="AE53" s="21"/>
      <c r="AF53" s="63"/>
      <c r="AG53" s="82"/>
      <c r="AH53" s="82"/>
      <c r="AI53" s="83"/>
      <c r="AJ53" s="84"/>
    </row>
    <row r="54" spans="1:36" s="1" customFormat="1" ht="15.5" x14ac:dyDescent="0.35">
      <c r="A54" s="5"/>
      <c r="B54" s="5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67"/>
      <c r="P54" s="2"/>
      <c r="R54" s="39"/>
      <c r="S54" s="21"/>
      <c r="T54" s="39"/>
      <c r="U54" s="39"/>
      <c r="V54" s="39"/>
      <c r="W54" s="64"/>
      <c r="X54" s="65"/>
      <c r="Y54" s="39"/>
      <c r="Z54" s="39"/>
      <c r="AA54" s="39"/>
      <c r="AB54" s="39"/>
      <c r="AC54" s="39"/>
      <c r="AD54" s="39"/>
      <c r="AE54" s="21"/>
      <c r="AF54" s="63"/>
      <c r="AG54" s="82"/>
      <c r="AH54" s="82"/>
      <c r="AI54" s="83"/>
      <c r="AJ54" s="84"/>
    </row>
    <row r="55" spans="1:36" s="1" customFormat="1" ht="14" x14ac:dyDescent="0.3">
      <c r="O55" s="66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ht="15.5" x14ac:dyDescent="0.35">
      <c r="O56" s="67"/>
      <c r="P56" s="2"/>
      <c r="AJ56" s="86"/>
    </row>
    <row r="57" spans="1:36" ht="15" x14ac:dyDescent="0.3">
      <c r="O57" s="29"/>
      <c r="P57" s="72"/>
    </row>
    <row r="58" spans="1:36" ht="14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36" ht="14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</sheetData>
  <mergeCells count="4">
    <mergeCell ref="L24:M24"/>
    <mergeCell ref="B4:N4"/>
    <mergeCell ref="O4:P4"/>
    <mergeCell ref="M6:O6"/>
  </mergeCells>
  <printOptions horizontalCentered="1"/>
  <pageMargins left="0.70866141732283472" right="0.51181102362204722" top="0" bottom="0" header="0.43307086614173229" footer="3.937007874015748E-2"/>
  <pageSetup paperSize="9" scale="58" orientation="portrait" r:id="rId1"/>
  <headerFooter alignWithMargins="0">
    <oddFooter xml:space="preserve">&amp;C&amp;"Times New Roman,Regular"&amp;11 8 @  Tradehub21,#06-16, Boon Lay Way
 Singapore 609964 
Tel : (65) 6779 9272    Fax : (65) 6873 8262    Website : www.tiscalibrator.com&amp;"Arial,Regular"&amp;10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eck_low_and_high">
                <anchor moveWithCells="1" sizeWithCells="1">
                  <from>
                    <xdr:col>16</xdr:col>
                    <xdr:colOff>495300</xdr:colOff>
                    <xdr:row>3</xdr:row>
                    <xdr:rowOff>63500</xdr:rowOff>
                  </from>
                  <to>
                    <xdr:col>19</xdr:col>
                    <xdr:colOff>57150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9"/>
  <sheetViews>
    <sheetView zoomScale="115" zoomScaleNormal="115" workbookViewId="0">
      <selection activeCell="E5" sqref="E5"/>
    </sheetView>
  </sheetViews>
  <sheetFormatPr defaultRowHeight="12.5" x14ac:dyDescent="0.25"/>
  <cols>
    <col min="1" max="5" width="11.81640625" bestFit="1" customWidth="1"/>
    <col min="6" max="6" width="11.81640625" customWidth="1"/>
    <col min="7" max="7" width="12" bestFit="1" customWidth="1"/>
    <col min="8" max="8" width="13.453125" customWidth="1"/>
    <col min="9" max="9" width="12.81640625" bestFit="1" customWidth="1"/>
    <col min="10" max="10" width="12.81640625" customWidth="1"/>
    <col min="11" max="11" width="11.26953125" customWidth="1"/>
    <col min="12" max="12" width="10.1796875" bestFit="1" customWidth="1"/>
    <col min="13" max="14" width="13.453125" customWidth="1"/>
    <col min="15" max="15" width="13.453125" bestFit="1" customWidth="1"/>
    <col min="16" max="16" width="10.1796875" customWidth="1"/>
    <col min="17" max="17" width="11.1796875" customWidth="1"/>
  </cols>
  <sheetData>
    <row r="1" spans="1:17" ht="15.5" x14ac:dyDescent="0.35">
      <c r="A1" s="3"/>
      <c r="B1" s="2"/>
      <c r="D1" s="3"/>
      <c r="E1" s="2"/>
    </row>
    <row r="2" spans="1:17" x14ac:dyDescent="0.25">
      <c r="A2" s="24"/>
    </row>
    <row r="3" spans="1:17" ht="15.5" x14ac:dyDescent="0.35">
      <c r="A3" s="3"/>
      <c r="H3" s="3"/>
      <c r="I3" s="3"/>
      <c r="J3" s="3"/>
      <c r="K3" s="3"/>
      <c r="L3" s="3"/>
      <c r="M3" s="3"/>
      <c r="N3" s="3"/>
      <c r="O3" s="22"/>
    </row>
    <row r="4" spans="1:17" ht="15.5" x14ac:dyDescent="0.35">
      <c r="H4" s="3"/>
      <c r="I4" s="3"/>
      <c r="J4" s="3"/>
      <c r="K4" s="3"/>
      <c r="L4" s="3"/>
      <c r="M4" s="3"/>
      <c r="N4" s="3"/>
      <c r="O4" s="2"/>
    </row>
    <row r="5" spans="1:17" ht="46.5" x14ac:dyDescent="0.35">
      <c r="D5" s="3"/>
      <c r="E5" s="2"/>
      <c r="G5" s="126" t="s">
        <v>67</v>
      </c>
      <c r="H5" s="126" t="s">
        <v>68</v>
      </c>
      <c r="I5" s="126" t="s">
        <v>69</v>
      </c>
      <c r="J5" s="125" t="s">
        <v>70</v>
      </c>
      <c r="K5" s="125" t="s">
        <v>71</v>
      </c>
      <c r="L5" s="97"/>
      <c r="M5" s="125" t="s">
        <v>72</v>
      </c>
      <c r="N5" s="97"/>
      <c r="O5" s="2"/>
    </row>
    <row r="6" spans="1:17" ht="13" thickBot="1" x14ac:dyDescent="0.3"/>
    <row r="7" spans="1:17" ht="16" thickTop="1" x14ac:dyDescent="0.35">
      <c r="A7" s="280" t="s">
        <v>73</v>
      </c>
      <c r="B7" s="282" t="s">
        <v>74</v>
      </c>
      <c r="C7" s="283"/>
      <c r="D7" s="284"/>
      <c r="E7" s="285" t="s">
        <v>75</v>
      </c>
      <c r="F7" s="287" t="s">
        <v>76</v>
      </c>
      <c r="G7" s="289" t="s">
        <v>77</v>
      </c>
      <c r="H7" s="291" t="s">
        <v>78</v>
      </c>
      <c r="I7" s="285" t="s">
        <v>79</v>
      </c>
      <c r="J7" s="297" t="s">
        <v>80</v>
      </c>
      <c r="K7" s="285" t="s">
        <v>81</v>
      </c>
      <c r="L7" s="295" t="s">
        <v>82</v>
      </c>
      <c r="M7" s="285" t="s">
        <v>83</v>
      </c>
      <c r="N7" s="287" t="s">
        <v>84</v>
      </c>
      <c r="O7" s="289" t="s">
        <v>85</v>
      </c>
      <c r="P7" s="285" t="s">
        <v>86</v>
      </c>
      <c r="Q7" s="293" t="s">
        <v>87</v>
      </c>
    </row>
    <row r="8" spans="1:17" ht="15.5" x14ac:dyDescent="0.35">
      <c r="A8" s="281"/>
      <c r="B8" s="23">
        <v>1</v>
      </c>
      <c r="C8" s="23">
        <v>2</v>
      </c>
      <c r="D8" s="23">
        <v>3</v>
      </c>
      <c r="E8" s="286"/>
      <c r="F8" s="288"/>
      <c r="G8" s="290"/>
      <c r="H8" s="292"/>
      <c r="I8" s="286"/>
      <c r="J8" s="298"/>
      <c r="K8" s="286"/>
      <c r="L8" s="296"/>
      <c r="M8" s="286"/>
      <c r="N8" s="288"/>
      <c r="O8" s="290"/>
      <c r="P8" s="286"/>
      <c r="Q8" s="294"/>
    </row>
    <row r="9" spans="1:17" ht="15.5" x14ac:dyDescent="0.35">
      <c r="A9" s="175">
        <f>'Calibration Data'!D26</f>
        <v>0</v>
      </c>
      <c r="B9" s="176">
        <f>'Calibration Data'!F26</f>
        <v>0</v>
      </c>
      <c r="C9" s="176">
        <f>'Calibration Data'!G26</f>
        <v>0</v>
      </c>
      <c r="D9" s="176">
        <f>'Calibration Data'!H26</f>
        <v>0</v>
      </c>
      <c r="E9" s="183">
        <f>(B9+C9+D9)/3</f>
        <v>0</v>
      </c>
      <c r="F9" s="104">
        <f>SQRT(((B9-E9)^2+(C9-E9)^2+(D9-E9)^2)/(3-1))</f>
        <v>0</v>
      </c>
      <c r="G9" s="108">
        <f>F9/SQRT(3)</f>
        <v>0</v>
      </c>
      <c r="H9" s="189">
        <v>6.3000000000000003E-4</v>
      </c>
      <c r="I9" s="107">
        <f>H9/2</f>
        <v>3.1500000000000001E-4</v>
      </c>
      <c r="J9" s="191">
        <v>1.2999999999999999E-3</v>
      </c>
      <c r="K9" s="25">
        <v>0</v>
      </c>
      <c r="L9" s="98">
        <v>1E-3</v>
      </c>
      <c r="M9" s="25">
        <f>L9/(2*SQRT(3))</f>
        <v>2.886751345948129E-4</v>
      </c>
      <c r="N9" s="25">
        <f t="shared" ref="N9:N21" si="0">SQRT(SUMSQ(G9,I9,K9,M9))</f>
        <v>4.2726845581359424E-4</v>
      </c>
      <c r="O9" s="99">
        <f t="shared" ref="O9:O21" si="1">IFERROR(N9^4/G9^4*2,300000000)</f>
        <v>300000000</v>
      </c>
      <c r="P9" s="128">
        <f t="shared" ref="P9:P21" si="2">IFERROR(TINV(0.0454,O9),2)</f>
        <v>2.0009293899241003</v>
      </c>
      <c r="Q9" s="131">
        <f>N9*P9</f>
        <v>8.5493401062490754E-4</v>
      </c>
    </row>
    <row r="10" spans="1:17" ht="15.5" x14ac:dyDescent="0.35">
      <c r="A10" s="175">
        <f>'Calibration Data'!F11</f>
        <v>5</v>
      </c>
      <c r="B10" s="176">
        <f>'Calibration Data'!F27</f>
        <v>5.0670000000000002</v>
      </c>
      <c r="C10" s="176">
        <f>'Calibration Data'!G27</f>
        <v>5.0670000000000002</v>
      </c>
      <c r="D10" s="176">
        <f>'Calibration Data'!H27</f>
        <v>5.0670000000000002</v>
      </c>
      <c r="E10" s="184">
        <f>(B10+C10+D10)/3</f>
        <v>5.0670000000000002</v>
      </c>
      <c r="F10" s="105">
        <f>SQRT(((B10-E10)^2+(C10-E10)^2+(D10-E10)^2)/(3-1))</f>
        <v>0</v>
      </c>
      <c r="G10" s="109">
        <f>F10/SQRT(3)</f>
        <v>0</v>
      </c>
      <c r="H10" s="189">
        <v>6.3000000000000003E-4</v>
      </c>
      <c r="I10" s="107">
        <f>H10/2</f>
        <v>3.1500000000000001E-4</v>
      </c>
      <c r="J10" s="191">
        <v>1.2999999999999999E-3</v>
      </c>
      <c r="K10" s="25">
        <v>0</v>
      </c>
      <c r="L10" s="98">
        <v>1E-3</v>
      </c>
      <c r="M10" s="25">
        <f>L10/(2*SQRT(3))</f>
        <v>2.886751345948129E-4</v>
      </c>
      <c r="N10" s="25">
        <f t="shared" si="0"/>
        <v>4.2726845581359424E-4</v>
      </c>
      <c r="O10" s="99">
        <f t="shared" si="1"/>
        <v>300000000</v>
      </c>
      <c r="P10" s="129">
        <f t="shared" si="2"/>
        <v>2.0009293899241003</v>
      </c>
      <c r="Q10" s="132">
        <f>N10*P10</f>
        <v>8.5493401062490754E-4</v>
      </c>
    </row>
    <row r="11" spans="1:17" ht="15.5" x14ac:dyDescent="0.35">
      <c r="A11" s="175">
        <f>'Calibration Data'!D28</f>
        <v>10</v>
      </c>
      <c r="B11" s="177">
        <f>'Calibration Data'!F28</f>
        <v>10.000999999999999</v>
      </c>
      <c r="C11" s="176">
        <f>'Calibration Data'!G28</f>
        <v>10.000999999999999</v>
      </c>
      <c r="D11" s="176">
        <f>'Calibration Data'!H28</f>
        <v>10.000999999999999</v>
      </c>
      <c r="E11" s="184">
        <f t="shared" ref="E11:E21" si="3">(B11+C11+D11)/3</f>
        <v>10.000999999999999</v>
      </c>
      <c r="F11" s="105">
        <f t="shared" ref="F11:F21" si="4">SQRT(((B11-E11)^2+(C11-E11)^2+(D11-E11)^2)/(3-1))</f>
        <v>0</v>
      </c>
      <c r="G11" s="109">
        <f t="shared" ref="G11:G21" si="5">F11/SQRT(3)</f>
        <v>0</v>
      </c>
      <c r="H11" s="189">
        <v>6.3000000000000003E-4</v>
      </c>
      <c r="I11" s="107">
        <f t="shared" ref="I11:I21" si="6">H11/2</f>
        <v>3.1500000000000001E-4</v>
      </c>
      <c r="J11" s="191">
        <v>1.2999999999999999E-3</v>
      </c>
      <c r="K11" s="25">
        <v>0</v>
      </c>
      <c r="L11" s="98">
        <v>1E-3</v>
      </c>
      <c r="M11" s="25">
        <f t="shared" ref="M11:M21" si="7">L11/(2*SQRT(3))</f>
        <v>2.886751345948129E-4</v>
      </c>
      <c r="N11" s="25">
        <f t="shared" si="0"/>
        <v>4.2726845581359424E-4</v>
      </c>
      <c r="O11" s="99">
        <f t="shared" si="1"/>
        <v>300000000</v>
      </c>
      <c r="P11" s="129">
        <f t="shared" si="2"/>
        <v>2.0009293899241003</v>
      </c>
      <c r="Q11" s="132">
        <f t="shared" ref="Q11:Q21" si="8">N11*P11</f>
        <v>8.5493401062490754E-4</v>
      </c>
    </row>
    <row r="12" spans="1:17" ht="15.5" x14ac:dyDescent="0.35">
      <c r="A12" s="175">
        <f>'Calibration Data'!D29</f>
        <v>15</v>
      </c>
      <c r="B12" s="177">
        <f>'Calibration Data'!F29</f>
        <v>15.002000000000001</v>
      </c>
      <c r="C12" s="176">
        <f>'Calibration Data'!G29</f>
        <v>15.000999999999999</v>
      </c>
      <c r="D12" s="176">
        <f>'Calibration Data'!H29</f>
        <v>15.000999999999999</v>
      </c>
      <c r="E12" s="184">
        <f t="shared" si="3"/>
        <v>15.001333333333333</v>
      </c>
      <c r="F12" s="105">
        <f t="shared" si="4"/>
        <v>5.773502691903314E-4</v>
      </c>
      <c r="G12" s="109">
        <f t="shared" si="5"/>
        <v>3.3333333333374077E-4</v>
      </c>
      <c r="H12" s="189">
        <v>6.3000000000000003E-4</v>
      </c>
      <c r="I12" s="107">
        <f t="shared" si="6"/>
        <v>3.1500000000000001E-4</v>
      </c>
      <c r="J12" s="191">
        <v>1.2999999999999999E-3</v>
      </c>
      <c r="K12" s="25">
        <v>0</v>
      </c>
      <c r="L12" s="98">
        <v>1E-3</v>
      </c>
      <c r="M12" s="25">
        <f t="shared" si="7"/>
        <v>2.886751345948129E-4</v>
      </c>
      <c r="N12" s="25">
        <f t="shared" si="0"/>
        <v>5.4191276460765906E-4</v>
      </c>
      <c r="O12" s="99">
        <f t="shared" si="1"/>
        <v>13.971162301207542</v>
      </c>
      <c r="P12" s="129">
        <f t="shared" si="2"/>
        <v>2.2129970865499189</v>
      </c>
      <c r="Q12" s="132">
        <f t="shared" si="8"/>
        <v>1.1992513692409615E-3</v>
      </c>
    </row>
    <row r="13" spans="1:17" ht="15.5" x14ac:dyDescent="0.35">
      <c r="A13" s="175">
        <f>'Calibration Data'!D30</f>
        <v>20</v>
      </c>
      <c r="B13" s="177">
        <f>'Calibration Data'!F30</f>
        <v>20.001999999999999</v>
      </c>
      <c r="C13" s="176">
        <f>'Calibration Data'!G30</f>
        <v>20.001000000000001</v>
      </c>
      <c r="D13" s="176">
        <f>'Calibration Data'!H30</f>
        <v>20.001000000000001</v>
      </c>
      <c r="E13" s="184">
        <f t="shared" si="3"/>
        <v>20.001333333333335</v>
      </c>
      <c r="F13" s="105">
        <f t="shared" si="4"/>
        <v>5.7735026918828019E-4</v>
      </c>
      <c r="G13" s="109">
        <f t="shared" si="5"/>
        <v>3.3333333333255649E-4</v>
      </c>
      <c r="H13" s="189">
        <v>6.3000000000000003E-4</v>
      </c>
      <c r="I13" s="107">
        <f t="shared" si="6"/>
        <v>3.1500000000000001E-4</v>
      </c>
      <c r="J13" s="191">
        <v>1.2999999999999999E-3</v>
      </c>
      <c r="K13" s="25">
        <v>0</v>
      </c>
      <c r="L13" s="98">
        <v>1E-3</v>
      </c>
      <c r="M13" s="25">
        <f t="shared" si="7"/>
        <v>2.886751345948129E-4</v>
      </c>
      <c r="N13" s="25">
        <f t="shared" si="0"/>
        <v>5.4191276460693058E-4</v>
      </c>
      <c r="O13" s="99">
        <f t="shared" si="1"/>
        <v>13.971162301330969</v>
      </c>
      <c r="P13" s="129">
        <f t="shared" si="2"/>
        <v>2.2129970865499189</v>
      </c>
      <c r="Q13" s="132">
        <f t="shared" si="8"/>
        <v>1.1992513692393493E-3</v>
      </c>
    </row>
    <row r="14" spans="1:17" ht="15.5" x14ac:dyDescent="0.35">
      <c r="A14" s="175">
        <f>'Calibration Data'!D31</f>
        <v>25</v>
      </c>
      <c r="B14" s="177">
        <f>'Calibration Data'!F31</f>
        <v>25.003</v>
      </c>
      <c r="C14" s="176">
        <f>'Calibration Data'!G31</f>
        <v>25.001999999999999</v>
      </c>
      <c r="D14" s="176">
        <f>'Calibration Data'!H31</f>
        <v>25.001999999999999</v>
      </c>
      <c r="E14" s="184">
        <f t="shared" si="3"/>
        <v>25.002333333333329</v>
      </c>
      <c r="F14" s="105">
        <f t="shared" si="4"/>
        <v>5.773502691903314E-4</v>
      </c>
      <c r="G14" s="109">
        <f t="shared" si="5"/>
        <v>3.3333333333374077E-4</v>
      </c>
      <c r="H14" s="189">
        <v>6.3000000000000003E-4</v>
      </c>
      <c r="I14" s="107">
        <f t="shared" si="6"/>
        <v>3.1500000000000001E-4</v>
      </c>
      <c r="J14" s="191">
        <v>1.2999999999999999E-3</v>
      </c>
      <c r="K14" s="25">
        <v>0</v>
      </c>
      <c r="L14" s="98">
        <v>1E-3</v>
      </c>
      <c r="M14" s="25">
        <f t="shared" si="7"/>
        <v>2.886751345948129E-4</v>
      </c>
      <c r="N14" s="25">
        <f t="shared" si="0"/>
        <v>5.4191276460765906E-4</v>
      </c>
      <c r="O14" s="99">
        <f t="shared" si="1"/>
        <v>13.971162301207542</v>
      </c>
      <c r="P14" s="129">
        <f t="shared" si="2"/>
        <v>2.2129970865499189</v>
      </c>
      <c r="Q14" s="132">
        <f>N14*P14</f>
        <v>1.1992513692409615E-3</v>
      </c>
    </row>
    <row r="15" spans="1:17" ht="15.5" x14ac:dyDescent="0.35">
      <c r="A15" s="175">
        <f>'Calibration Data'!D32</f>
        <v>30</v>
      </c>
      <c r="B15" s="177">
        <f>'Calibration Data'!F32</f>
        <v>30</v>
      </c>
      <c r="C15" s="176">
        <f>'Calibration Data'!G32</f>
        <v>30</v>
      </c>
      <c r="D15" s="176">
        <f>'Calibration Data'!H32</f>
        <v>30</v>
      </c>
      <c r="E15" s="184">
        <f t="shared" si="3"/>
        <v>30</v>
      </c>
      <c r="F15" s="105">
        <f t="shared" si="4"/>
        <v>0</v>
      </c>
      <c r="G15" s="109">
        <f t="shared" si="5"/>
        <v>0</v>
      </c>
      <c r="H15" s="189">
        <v>6.3000000000000003E-4</v>
      </c>
      <c r="I15" s="107">
        <f t="shared" si="6"/>
        <v>3.1500000000000001E-4</v>
      </c>
      <c r="J15" s="191">
        <v>1.2999999999999999E-3</v>
      </c>
      <c r="K15" s="25">
        <v>0</v>
      </c>
      <c r="L15" s="98">
        <v>1E-3</v>
      </c>
      <c r="M15" s="25">
        <f t="shared" si="7"/>
        <v>2.886751345948129E-4</v>
      </c>
      <c r="N15" s="25">
        <f t="shared" si="0"/>
        <v>4.2726845581359424E-4</v>
      </c>
      <c r="O15" s="99">
        <f t="shared" si="1"/>
        <v>300000000</v>
      </c>
      <c r="P15" s="129">
        <f t="shared" si="2"/>
        <v>2.0009293899241003</v>
      </c>
      <c r="Q15" s="132">
        <f>N15*P15</f>
        <v>8.5493401062490754E-4</v>
      </c>
    </row>
    <row r="16" spans="1:17" ht="15.5" x14ac:dyDescent="0.35">
      <c r="A16" s="175">
        <f>'Calibration Data'!D33</f>
        <v>25</v>
      </c>
      <c r="B16" s="177">
        <f>'Calibration Data'!F33</f>
        <v>25.004999999999999</v>
      </c>
      <c r="C16" s="176">
        <f>'Calibration Data'!G33</f>
        <v>25.003</v>
      </c>
      <c r="D16" s="176">
        <f>'Calibration Data'!H33</f>
        <v>25.003999999999998</v>
      </c>
      <c r="E16" s="184">
        <f t="shared" si="3"/>
        <v>25.004000000000001</v>
      </c>
      <c r="F16" s="105">
        <f t="shared" si="4"/>
        <v>9.9999999999944578E-4</v>
      </c>
      <c r="G16" s="109">
        <f t="shared" si="5"/>
        <v>5.7735026918930585E-4</v>
      </c>
      <c r="H16" s="189">
        <v>6.3000000000000003E-4</v>
      </c>
      <c r="I16" s="107">
        <f t="shared" si="6"/>
        <v>3.1500000000000001E-4</v>
      </c>
      <c r="J16" s="191">
        <v>1.2999999999999999E-3</v>
      </c>
      <c r="K16" s="25">
        <v>0</v>
      </c>
      <c r="L16" s="98">
        <v>1E-3</v>
      </c>
      <c r="M16" s="25">
        <f t="shared" si="7"/>
        <v>2.886751345948129E-4</v>
      </c>
      <c r="N16" s="25">
        <f t="shared" si="0"/>
        <v>7.1825598964874446E-4</v>
      </c>
      <c r="O16" s="99">
        <f t="shared" si="1"/>
        <v>4.790595811253759</v>
      </c>
      <c r="P16" s="129">
        <f t="shared" si="2"/>
        <v>2.8714987763902591</v>
      </c>
      <c r="Q16" s="132">
        <f t="shared" si="8"/>
        <v>2.0624711954113444E-3</v>
      </c>
    </row>
    <row r="17" spans="1:17" ht="15.5" x14ac:dyDescent="0.35">
      <c r="A17" s="175">
        <f>'Calibration Data'!D34</f>
        <v>20</v>
      </c>
      <c r="B17" s="177">
        <f>'Calibration Data'!F34</f>
        <v>20.004999999999999</v>
      </c>
      <c r="C17" s="176">
        <f>'Calibration Data'!G34</f>
        <v>20.003</v>
      </c>
      <c r="D17" s="176">
        <f>'Calibration Data'!H34</f>
        <v>20.003999999999998</v>
      </c>
      <c r="E17" s="184">
        <f t="shared" si="3"/>
        <v>20.003999999999998</v>
      </c>
      <c r="F17" s="105">
        <f t="shared" si="4"/>
        <v>9.9999999999944578E-4</v>
      </c>
      <c r="G17" s="109">
        <f t="shared" si="5"/>
        <v>5.7735026918930585E-4</v>
      </c>
      <c r="H17" s="189">
        <v>6.3000000000000003E-4</v>
      </c>
      <c r="I17" s="107">
        <f t="shared" si="6"/>
        <v>3.1500000000000001E-4</v>
      </c>
      <c r="J17" s="191">
        <v>1.2999999999999999E-3</v>
      </c>
      <c r="K17" s="25">
        <v>0</v>
      </c>
      <c r="L17" s="98">
        <v>1E-3</v>
      </c>
      <c r="M17" s="25">
        <f t="shared" si="7"/>
        <v>2.886751345948129E-4</v>
      </c>
      <c r="N17" s="25">
        <f t="shared" si="0"/>
        <v>7.1825598964874446E-4</v>
      </c>
      <c r="O17" s="99">
        <f t="shared" si="1"/>
        <v>4.790595811253759</v>
      </c>
      <c r="P17" s="129">
        <f t="shared" si="2"/>
        <v>2.8714987763902591</v>
      </c>
      <c r="Q17" s="132">
        <f t="shared" si="8"/>
        <v>2.0624711954113444E-3</v>
      </c>
    </row>
    <row r="18" spans="1:17" ht="15.5" x14ac:dyDescent="0.35">
      <c r="A18" s="175">
        <f>'Calibration Data'!D35</f>
        <v>15</v>
      </c>
      <c r="B18" s="177">
        <f>'Calibration Data'!F35</f>
        <v>15.005000000000001</v>
      </c>
      <c r="C18" s="176">
        <f>'Calibration Data'!G35</f>
        <v>15.003</v>
      </c>
      <c r="D18" s="176">
        <f>'Calibration Data'!H35</f>
        <v>15.004000000000001</v>
      </c>
      <c r="E18" s="184">
        <f t="shared" si="3"/>
        <v>15.004</v>
      </c>
      <c r="F18" s="105">
        <f t="shared" si="4"/>
        <v>1.000000000000334E-3</v>
      </c>
      <c r="G18" s="109">
        <f t="shared" si="5"/>
        <v>5.7735026918981857E-4</v>
      </c>
      <c r="H18" s="189">
        <v>6.3000000000000003E-4</v>
      </c>
      <c r="I18" s="107">
        <f t="shared" si="6"/>
        <v>3.1500000000000001E-4</v>
      </c>
      <c r="J18" s="191">
        <v>1.2999999999999999E-3</v>
      </c>
      <c r="K18" s="25">
        <v>0</v>
      </c>
      <c r="L18" s="98">
        <v>1E-3</v>
      </c>
      <c r="M18" s="25">
        <f t="shared" si="7"/>
        <v>2.886751345948129E-4</v>
      </c>
      <c r="N18" s="25">
        <f t="shared" si="0"/>
        <v>7.1825598964915657E-4</v>
      </c>
      <c r="O18" s="99">
        <f t="shared" si="1"/>
        <v>4.7905958112477363</v>
      </c>
      <c r="P18" s="129">
        <f t="shared" si="2"/>
        <v>2.8714987763902591</v>
      </c>
      <c r="Q18" s="132">
        <f t="shared" si="8"/>
        <v>2.0624711954125275E-3</v>
      </c>
    </row>
    <row r="19" spans="1:17" ht="15.5" x14ac:dyDescent="0.35">
      <c r="A19" s="175">
        <f>'Calibration Data'!D36</f>
        <v>10</v>
      </c>
      <c r="B19" s="177">
        <f>'Calibration Data'!F36</f>
        <v>10.004</v>
      </c>
      <c r="C19" s="176">
        <f>'Calibration Data'!G36</f>
        <v>10.002000000000001</v>
      </c>
      <c r="D19" s="176">
        <f>'Calibration Data'!H36</f>
        <v>10.003</v>
      </c>
      <c r="E19" s="184">
        <f t="shared" si="3"/>
        <v>10.003</v>
      </c>
      <c r="F19" s="105">
        <f t="shared" si="4"/>
        <v>9.9999999999944578E-4</v>
      </c>
      <c r="G19" s="109">
        <f t="shared" si="5"/>
        <v>5.7735026918930585E-4</v>
      </c>
      <c r="H19" s="189">
        <v>6.3000000000000003E-4</v>
      </c>
      <c r="I19" s="107">
        <f t="shared" si="6"/>
        <v>3.1500000000000001E-4</v>
      </c>
      <c r="J19" s="191">
        <v>1.2999999999999999E-3</v>
      </c>
      <c r="K19" s="25">
        <v>0</v>
      </c>
      <c r="L19" s="98">
        <v>1E-3</v>
      </c>
      <c r="M19" s="25">
        <f t="shared" si="7"/>
        <v>2.886751345948129E-4</v>
      </c>
      <c r="N19" s="25">
        <f t="shared" si="0"/>
        <v>7.1825598964874446E-4</v>
      </c>
      <c r="O19" s="99">
        <f t="shared" si="1"/>
        <v>4.790595811253759</v>
      </c>
      <c r="P19" s="129">
        <f t="shared" si="2"/>
        <v>2.8714987763902591</v>
      </c>
      <c r="Q19" s="132">
        <f t="shared" si="8"/>
        <v>2.0624711954113444E-3</v>
      </c>
    </row>
    <row r="20" spans="1:17" ht="15.5" x14ac:dyDescent="0.35">
      <c r="A20" s="175">
        <f>'Calibration Data'!D37</f>
        <v>5</v>
      </c>
      <c r="B20" s="178">
        <f>'Calibration Data'!F37</f>
        <v>5.0670000000000002</v>
      </c>
      <c r="C20" s="179">
        <f>'Calibration Data'!G37</f>
        <v>5.0670000000000002</v>
      </c>
      <c r="D20" s="179">
        <f>'Calibration Data'!H37</f>
        <v>5.0670000000000002</v>
      </c>
      <c r="E20" s="184">
        <f t="shared" si="3"/>
        <v>5.0670000000000002</v>
      </c>
      <c r="F20" s="105">
        <f t="shared" si="4"/>
        <v>0</v>
      </c>
      <c r="G20" s="109">
        <f t="shared" si="5"/>
        <v>0</v>
      </c>
      <c r="H20" s="189">
        <v>6.3000000000000003E-4</v>
      </c>
      <c r="I20" s="107">
        <f t="shared" si="6"/>
        <v>3.1500000000000001E-4</v>
      </c>
      <c r="J20" s="191">
        <v>1.2999999999999999E-3</v>
      </c>
      <c r="K20" s="25">
        <v>0</v>
      </c>
      <c r="L20" s="98">
        <v>1E-3</v>
      </c>
      <c r="M20" s="25">
        <f t="shared" si="7"/>
        <v>2.886751345948129E-4</v>
      </c>
      <c r="N20" s="25">
        <f t="shared" si="0"/>
        <v>4.2726845581359424E-4</v>
      </c>
      <c r="O20" s="99">
        <f t="shared" si="1"/>
        <v>300000000</v>
      </c>
      <c r="P20" s="129">
        <f t="shared" si="2"/>
        <v>2.0009293899241003</v>
      </c>
      <c r="Q20" s="132">
        <f t="shared" si="8"/>
        <v>8.5493401062490754E-4</v>
      </c>
    </row>
    <row r="21" spans="1:17" ht="16" thickBot="1" x14ac:dyDescent="0.4">
      <c r="A21" s="180">
        <f>'Calibration Data'!D38</f>
        <v>0</v>
      </c>
      <c r="B21" s="181">
        <f>'Calibration Data'!F38</f>
        <v>2E-3</v>
      </c>
      <c r="C21" s="182">
        <f>'Calibration Data'!G38</f>
        <v>0</v>
      </c>
      <c r="D21" s="182">
        <f>'Calibration Data'!H38</f>
        <v>1E-3</v>
      </c>
      <c r="E21" s="185">
        <f t="shared" si="3"/>
        <v>1E-3</v>
      </c>
      <c r="F21" s="106">
        <f t="shared" si="4"/>
        <v>1E-3</v>
      </c>
      <c r="G21" s="110">
        <f t="shared" si="5"/>
        <v>5.773502691896258E-4</v>
      </c>
      <c r="H21" s="190">
        <v>6.3000000000000003E-4</v>
      </c>
      <c r="I21" s="100">
        <f t="shared" si="6"/>
        <v>3.1500000000000001E-4</v>
      </c>
      <c r="J21" s="192">
        <v>1.2999999999999999E-3</v>
      </c>
      <c r="K21" s="100">
        <v>0</v>
      </c>
      <c r="L21" s="101">
        <v>1E-3</v>
      </c>
      <c r="M21" s="100">
        <f t="shared" si="7"/>
        <v>2.886751345948129E-4</v>
      </c>
      <c r="N21" s="100">
        <f t="shared" si="0"/>
        <v>7.1825598964900153E-4</v>
      </c>
      <c r="O21" s="127">
        <f t="shared" si="1"/>
        <v>4.7905958112499976</v>
      </c>
      <c r="P21" s="130">
        <f t="shared" si="2"/>
        <v>2.8714987763902591</v>
      </c>
      <c r="Q21" s="133">
        <f t="shared" si="8"/>
        <v>2.0624711954120825E-3</v>
      </c>
    </row>
    <row r="22" spans="1:17" ht="13" thickTop="1" x14ac:dyDescent="0.25"/>
    <row r="23" spans="1:17" ht="15.5" x14ac:dyDescent="0.35">
      <c r="B23" s="2" t="s">
        <v>88</v>
      </c>
      <c r="C23" s="102"/>
      <c r="D23" s="18" t="s">
        <v>89</v>
      </c>
      <c r="M23" s="103"/>
      <c r="N23" s="18" t="s">
        <v>90</v>
      </c>
    </row>
    <row r="24" spans="1:17" ht="15.5" x14ac:dyDescent="0.35">
      <c r="B24" s="2"/>
      <c r="M24" s="187"/>
      <c r="N24" s="18" t="s">
        <v>90</v>
      </c>
    </row>
    <row r="25" spans="1:17" ht="15.5" x14ac:dyDescent="0.35">
      <c r="D25" s="18" t="s">
        <v>91</v>
      </c>
      <c r="E25" s="2"/>
      <c r="K25" s="24"/>
    </row>
    <row r="27" spans="1:17" ht="15.5" x14ac:dyDescent="0.35">
      <c r="D27" s="2" t="s">
        <v>92</v>
      </c>
    </row>
    <row r="29" spans="1:17" ht="15.5" x14ac:dyDescent="0.35">
      <c r="D29" s="2" t="s">
        <v>93</v>
      </c>
      <c r="I29" s="2" t="s">
        <v>94</v>
      </c>
      <c r="J29" s="2"/>
    </row>
  </sheetData>
  <mergeCells count="15">
    <mergeCell ref="H7:H8"/>
    <mergeCell ref="Q7:Q8"/>
    <mergeCell ref="I7:I8"/>
    <mergeCell ref="K7:K8"/>
    <mergeCell ref="L7:L8"/>
    <mergeCell ref="M7:M8"/>
    <mergeCell ref="N7:N8"/>
    <mergeCell ref="O7:O8"/>
    <mergeCell ref="P7:P8"/>
    <mergeCell ref="J7:J8"/>
    <mergeCell ref="A7:A8"/>
    <mergeCell ref="B7:D7"/>
    <mergeCell ref="E7:E8"/>
    <mergeCell ref="F7:F8"/>
    <mergeCell ref="G7:G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Cover Page</vt:lpstr>
      <vt:lpstr> report1</vt:lpstr>
      <vt:lpstr>Calibration Data</vt:lpstr>
      <vt:lpstr>As Left Formula</vt:lpstr>
      <vt:lpstr>' report1'!Print_Area</vt:lpstr>
      <vt:lpstr>'Calibration Data'!Print_Area</vt:lpstr>
      <vt:lpstr>'Cover Page'!Print_Area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HeYijun</dc:creator>
  <cp:keywords/>
  <dc:description/>
  <cp:lastModifiedBy>Ong TC</cp:lastModifiedBy>
  <cp:revision/>
  <dcterms:created xsi:type="dcterms:W3CDTF">2000-01-16T05:51:22Z</dcterms:created>
  <dcterms:modified xsi:type="dcterms:W3CDTF">2022-06-22T13:41:56Z</dcterms:modified>
  <cp:category/>
  <cp:contentStatus/>
</cp:coreProperties>
</file>